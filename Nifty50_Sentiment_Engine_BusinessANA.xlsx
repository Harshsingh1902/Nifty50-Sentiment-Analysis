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396fb80e9b3b922/Desktop/"/>
    </mc:Choice>
  </mc:AlternateContent>
  <xr:revisionPtr revIDLastSave="0" documentId="8_{78AFE8CD-D576-449B-A671-6BD0D378CAA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Market_Data_Raw" sheetId="1" r:id="rId1"/>
    <sheet name="Quantitative_Model" sheetId="2" r:id="rId2"/>
    <sheet name="Qualitative_Sentiment" sheetId="3" r:id="rId3"/>
    <sheet name="Analytics_Tables" sheetId="4" r:id="rId4"/>
    <sheet name="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2" i="3" l="1"/>
  <c r="C252" i="3"/>
  <c r="F252" i="3" s="1"/>
  <c r="B252" i="3"/>
  <c r="A252" i="3"/>
  <c r="C251" i="3"/>
  <c r="F251" i="3" s="1"/>
  <c r="B251" i="3"/>
  <c r="A251" i="3"/>
  <c r="C250" i="3"/>
  <c r="D250" i="3" s="1"/>
  <c r="B250" i="3"/>
  <c r="A250" i="3"/>
  <c r="D249" i="3"/>
  <c r="C249" i="3"/>
  <c r="B249" i="3"/>
  <c r="A249" i="3"/>
  <c r="F248" i="3"/>
  <c r="E248" i="3"/>
  <c r="C248" i="3"/>
  <c r="D248" i="3" s="1"/>
  <c r="B248" i="3"/>
  <c r="A248" i="3"/>
  <c r="F247" i="3"/>
  <c r="D247" i="3"/>
  <c r="C247" i="3"/>
  <c r="B247" i="3"/>
  <c r="A247" i="3"/>
  <c r="F246" i="3"/>
  <c r="E246" i="3"/>
  <c r="C246" i="3"/>
  <c r="D246" i="3" s="1"/>
  <c r="B246" i="3"/>
  <c r="A246" i="3"/>
  <c r="D245" i="3"/>
  <c r="C245" i="3"/>
  <c r="B245" i="3"/>
  <c r="A245" i="3"/>
  <c r="F244" i="3"/>
  <c r="E244" i="3"/>
  <c r="C244" i="3"/>
  <c r="D244" i="3" s="1"/>
  <c r="B244" i="3"/>
  <c r="A244" i="3"/>
  <c r="D243" i="3"/>
  <c r="C243" i="3"/>
  <c r="B243" i="3"/>
  <c r="A243" i="3"/>
  <c r="C242" i="3"/>
  <c r="D242" i="3" s="1"/>
  <c r="B242" i="3"/>
  <c r="A242" i="3"/>
  <c r="F241" i="3"/>
  <c r="E241" i="3"/>
  <c r="D241" i="3"/>
  <c r="C241" i="3"/>
  <c r="B241" i="3"/>
  <c r="A241" i="3"/>
  <c r="C240" i="3"/>
  <c r="D240" i="3" s="1"/>
  <c r="B240" i="3"/>
  <c r="A240" i="3"/>
  <c r="F239" i="3"/>
  <c r="E239" i="3"/>
  <c r="D239" i="3"/>
  <c r="C239" i="3"/>
  <c r="B239" i="3"/>
  <c r="A239" i="3"/>
  <c r="C238" i="3"/>
  <c r="D238" i="3" s="1"/>
  <c r="B238" i="3"/>
  <c r="A238" i="3"/>
  <c r="F237" i="3"/>
  <c r="E237" i="3"/>
  <c r="D237" i="3"/>
  <c r="C237" i="3"/>
  <c r="B237" i="3"/>
  <c r="A237" i="3"/>
  <c r="C236" i="3"/>
  <c r="D236" i="3" s="1"/>
  <c r="B236" i="3"/>
  <c r="A236" i="3"/>
  <c r="E235" i="3"/>
  <c r="D235" i="3"/>
  <c r="C235" i="3"/>
  <c r="B235" i="3"/>
  <c r="A235" i="3"/>
  <c r="F234" i="3"/>
  <c r="C234" i="3"/>
  <c r="D234" i="3" s="1"/>
  <c r="B234" i="3"/>
  <c r="A234" i="3"/>
  <c r="D233" i="3"/>
  <c r="C233" i="3"/>
  <c r="B233" i="3"/>
  <c r="A233" i="3"/>
  <c r="F232" i="3"/>
  <c r="E232" i="3"/>
  <c r="C232" i="3"/>
  <c r="D232" i="3" s="1"/>
  <c r="B232" i="3"/>
  <c r="A232" i="3"/>
  <c r="D231" i="3"/>
  <c r="C231" i="3"/>
  <c r="B231" i="3"/>
  <c r="A231" i="3"/>
  <c r="F230" i="3"/>
  <c r="E230" i="3"/>
  <c r="C230" i="3"/>
  <c r="D230" i="3" s="1"/>
  <c r="B230" i="3"/>
  <c r="A230" i="3"/>
  <c r="D229" i="3"/>
  <c r="C229" i="3"/>
  <c r="B229" i="3"/>
  <c r="A229" i="3"/>
  <c r="C228" i="3"/>
  <c r="D228" i="3" s="1"/>
  <c r="B228" i="3"/>
  <c r="A228" i="3"/>
  <c r="E227" i="3"/>
  <c r="D227" i="3"/>
  <c r="C227" i="3"/>
  <c r="B227" i="3"/>
  <c r="A227" i="3"/>
  <c r="C226" i="3"/>
  <c r="D226" i="3" s="1"/>
  <c r="B226" i="3"/>
  <c r="A226" i="3"/>
  <c r="D225" i="3"/>
  <c r="C225" i="3"/>
  <c r="B225" i="3"/>
  <c r="A225" i="3"/>
  <c r="F224" i="3"/>
  <c r="C224" i="3"/>
  <c r="D224" i="3" s="1"/>
  <c r="B224" i="3"/>
  <c r="A224" i="3"/>
  <c r="D223" i="3"/>
  <c r="C223" i="3"/>
  <c r="B223" i="3"/>
  <c r="A223" i="3"/>
  <c r="F222" i="3"/>
  <c r="E222" i="3"/>
  <c r="C222" i="3"/>
  <c r="D222" i="3" s="1"/>
  <c r="B222" i="3"/>
  <c r="A222" i="3"/>
  <c r="D221" i="3"/>
  <c r="C221" i="3"/>
  <c r="B221" i="3"/>
  <c r="A221" i="3"/>
  <c r="F220" i="3"/>
  <c r="E220" i="3"/>
  <c r="C220" i="3"/>
  <c r="D220" i="3" s="1"/>
  <c r="B220" i="3"/>
  <c r="A220" i="3"/>
  <c r="D219" i="3"/>
  <c r="C219" i="3"/>
  <c r="B219" i="3"/>
  <c r="A219" i="3"/>
  <c r="F218" i="3"/>
  <c r="E218" i="3"/>
  <c r="C218" i="3"/>
  <c r="D218" i="3" s="1"/>
  <c r="B218" i="3"/>
  <c r="A218" i="3"/>
  <c r="D217" i="3"/>
  <c r="C217" i="3"/>
  <c r="B217" i="3"/>
  <c r="A217" i="3"/>
  <c r="E216" i="3"/>
  <c r="C216" i="3"/>
  <c r="D216" i="3" s="1"/>
  <c r="B216" i="3"/>
  <c r="A216" i="3"/>
  <c r="F215" i="3"/>
  <c r="E215" i="3"/>
  <c r="D215" i="3"/>
  <c r="C215" i="3"/>
  <c r="B215" i="3"/>
  <c r="A215" i="3"/>
  <c r="C214" i="3"/>
  <c r="D214" i="3" s="1"/>
  <c r="B214" i="3"/>
  <c r="A214" i="3"/>
  <c r="F213" i="3"/>
  <c r="E213" i="3"/>
  <c r="D213" i="3"/>
  <c r="C213" i="3"/>
  <c r="B213" i="3"/>
  <c r="A213" i="3"/>
  <c r="C212" i="3"/>
  <c r="D212" i="3" s="1"/>
  <c r="B212" i="3"/>
  <c r="A212" i="3"/>
  <c r="D211" i="3"/>
  <c r="C211" i="3"/>
  <c r="B211" i="3"/>
  <c r="A211" i="3"/>
  <c r="F210" i="3"/>
  <c r="C210" i="3"/>
  <c r="D210" i="3" s="1"/>
  <c r="B210" i="3"/>
  <c r="A210" i="3"/>
  <c r="D209" i="3"/>
  <c r="C209" i="3"/>
  <c r="B209" i="3"/>
  <c r="A209" i="3"/>
  <c r="F208" i="3"/>
  <c r="E208" i="3"/>
  <c r="C208" i="3"/>
  <c r="D208" i="3" s="1"/>
  <c r="B208" i="3"/>
  <c r="A208" i="3"/>
  <c r="D207" i="3"/>
  <c r="C207" i="3"/>
  <c r="B207" i="3"/>
  <c r="A207" i="3"/>
  <c r="F206" i="3"/>
  <c r="E206" i="3"/>
  <c r="C206" i="3"/>
  <c r="D206" i="3" s="1"/>
  <c r="B206" i="3"/>
  <c r="A206" i="3"/>
  <c r="D205" i="3"/>
  <c r="C205" i="3"/>
  <c r="B205" i="3"/>
  <c r="A205" i="3"/>
  <c r="C204" i="3"/>
  <c r="D204" i="3" s="1"/>
  <c r="B204" i="3"/>
  <c r="A204" i="3"/>
  <c r="E203" i="3"/>
  <c r="D203" i="3"/>
  <c r="C203" i="3"/>
  <c r="B203" i="3"/>
  <c r="A203" i="3"/>
  <c r="C202" i="3"/>
  <c r="D202" i="3" s="1"/>
  <c r="B202" i="3"/>
  <c r="A202" i="3"/>
  <c r="D201" i="3"/>
  <c r="C201" i="3"/>
  <c r="B201" i="3"/>
  <c r="A201" i="3"/>
  <c r="E200" i="3"/>
  <c r="C200" i="3"/>
  <c r="D200" i="3" s="1"/>
  <c r="B200" i="3"/>
  <c r="A200" i="3"/>
  <c r="D199" i="3"/>
  <c r="C199" i="3"/>
  <c r="B199" i="3"/>
  <c r="A199" i="3"/>
  <c r="F198" i="3"/>
  <c r="E198" i="3"/>
  <c r="C198" i="3"/>
  <c r="D198" i="3" s="1"/>
  <c r="B198" i="3"/>
  <c r="A198" i="3"/>
  <c r="D197" i="3"/>
  <c r="C197" i="3"/>
  <c r="B197" i="3"/>
  <c r="A197" i="3"/>
  <c r="F196" i="3"/>
  <c r="E196" i="3"/>
  <c r="C196" i="3"/>
  <c r="D196" i="3" s="1"/>
  <c r="B196" i="3"/>
  <c r="A196" i="3"/>
  <c r="D195" i="3"/>
  <c r="C195" i="3"/>
  <c r="B195" i="3"/>
  <c r="A195" i="3"/>
  <c r="F194" i="3"/>
  <c r="E194" i="3"/>
  <c r="C194" i="3"/>
  <c r="D194" i="3" s="1"/>
  <c r="B194" i="3"/>
  <c r="A194" i="3"/>
  <c r="E193" i="3"/>
  <c r="D193" i="3"/>
  <c r="C193" i="3"/>
  <c r="B193" i="3"/>
  <c r="A193" i="3"/>
  <c r="C192" i="3"/>
  <c r="D192" i="3" s="1"/>
  <c r="B192" i="3"/>
  <c r="A192" i="3"/>
  <c r="F191" i="3"/>
  <c r="E191" i="3"/>
  <c r="D191" i="3"/>
  <c r="C191" i="3"/>
  <c r="B191" i="3"/>
  <c r="A191" i="3"/>
  <c r="C190" i="3"/>
  <c r="D190" i="3" s="1"/>
  <c r="B190" i="3"/>
  <c r="A190" i="3"/>
  <c r="F189" i="3"/>
  <c r="E189" i="3"/>
  <c r="D189" i="3"/>
  <c r="C189" i="3"/>
  <c r="B189" i="3"/>
  <c r="A189" i="3"/>
  <c r="C188" i="3"/>
  <c r="D188" i="3" s="1"/>
  <c r="B188" i="3"/>
  <c r="A188" i="3"/>
  <c r="E187" i="3"/>
  <c r="D187" i="3"/>
  <c r="C187" i="3"/>
  <c r="B187" i="3"/>
  <c r="A187" i="3"/>
  <c r="F186" i="3"/>
  <c r="C186" i="3"/>
  <c r="D186" i="3" s="1"/>
  <c r="B186" i="3"/>
  <c r="A186" i="3"/>
  <c r="D185" i="3"/>
  <c r="C185" i="3"/>
  <c r="B185" i="3"/>
  <c r="A185" i="3"/>
  <c r="F184" i="3"/>
  <c r="E184" i="3"/>
  <c r="C184" i="3"/>
  <c r="D184" i="3" s="1"/>
  <c r="B184" i="3"/>
  <c r="A184" i="3"/>
  <c r="D183" i="3"/>
  <c r="C183" i="3"/>
  <c r="B183" i="3"/>
  <c r="A183" i="3"/>
  <c r="F182" i="3"/>
  <c r="E182" i="3"/>
  <c r="C182" i="3"/>
  <c r="D182" i="3" s="1"/>
  <c r="B182" i="3"/>
  <c r="A182" i="3"/>
  <c r="D181" i="3"/>
  <c r="C181" i="3"/>
  <c r="B181" i="3"/>
  <c r="A181" i="3"/>
  <c r="F180" i="3"/>
  <c r="C180" i="3"/>
  <c r="D180" i="3" s="1"/>
  <c r="B180" i="3"/>
  <c r="A180" i="3"/>
  <c r="E179" i="3"/>
  <c r="C179" i="3"/>
  <c r="F179" i="3" s="1"/>
  <c r="B179" i="3"/>
  <c r="A179" i="3"/>
  <c r="C178" i="3"/>
  <c r="D178" i="3" s="1"/>
  <c r="B178" i="3"/>
  <c r="A178" i="3"/>
  <c r="C177" i="3"/>
  <c r="B177" i="3"/>
  <c r="A177" i="3"/>
  <c r="E176" i="3"/>
  <c r="C176" i="3"/>
  <c r="D176" i="3" s="1"/>
  <c r="B176" i="3"/>
  <c r="A176" i="3"/>
  <c r="C175" i="3"/>
  <c r="D175" i="3" s="1"/>
  <c r="B175" i="3"/>
  <c r="A175" i="3"/>
  <c r="F174" i="3"/>
  <c r="E174" i="3"/>
  <c r="C174" i="3"/>
  <c r="D174" i="3" s="1"/>
  <c r="B174" i="3"/>
  <c r="A174" i="3"/>
  <c r="C173" i="3"/>
  <c r="D173" i="3" s="1"/>
  <c r="B173" i="3"/>
  <c r="A173" i="3"/>
  <c r="F172" i="3"/>
  <c r="E172" i="3"/>
  <c r="C172" i="3"/>
  <c r="D172" i="3" s="1"/>
  <c r="B172" i="3"/>
  <c r="A172" i="3"/>
  <c r="D171" i="3"/>
  <c r="C171" i="3"/>
  <c r="B171" i="3"/>
  <c r="A171" i="3"/>
  <c r="F170" i="3"/>
  <c r="E170" i="3"/>
  <c r="C170" i="3"/>
  <c r="D170" i="3" s="1"/>
  <c r="B170" i="3"/>
  <c r="A170" i="3"/>
  <c r="C169" i="3"/>
  <c r="F169" i="3" s="1"/>
  <c r="B169" i="3"/>
  <c r="A169" i="3"/>
  <c r="C168" i="3"/>
  <c r="D168" i="3" s="1"/>
  <c r="B168" i="3"/>
  <c r="A168" i="3"/>
  <c r="F167" i="3"/>
  <c r="E167" i="3"/>
  <c r="D167" i="3"/>
  <c r="C167" i="3"/>
  <c r="B167" i="3"/>
  <c r="A167" i="3"/>
  <c r="C166" i="3"/>
  <c r="D166" i="3" s="1"/>
  <c r="B166" i="3"/>
  <c r="A166" i="3"/>
  <c r="F165" i="3"/>
  <c r="E165" i="3"/>
  <c r="C165" i="3"/>
  <c r="D165" i="3" s="1"/>
  <c r="B165" i="3"/>
  <c r="A165" i="3"/>
  <c r="C164" i="3"/>
  <c r="D164" i="3" s="1"/>
  <c r="B164" i="3"/>
  <c r="A164" i="3"/>
  <c r="C163" i="3"/>
  <c r="B163" i="3"/>
  <c r="A163" i="3"/>
  <c r="F162" i="3"/>
  <c r="C162" i="3"/>
  <c r="D162" i="3" s="1"/>
  <c r="B162" i="3"/>
  <c r="A162" i="3"/>
  <c r="C161" i="3"/>
  <c r="B161" i="3"/>
  <c r="A161" i="3"/>
  <c r="F160" i="3"/>
  <c r="E160" i="3"/>
  <c r="C160" i="3"/>
  <c r="D160" i="3" s="1"/>
  <c r="B160" i="3"/>
  <c r="A160" i="3"/>
  <c r="C159" i="3"/>
  <c r="F159" i="3" s="1"/>
  <c r="B159" i="3"/>
  <c r="A159" i="3"/>
  <c r="F158" i="3"/>
  <c r="E158" i="3"/>
  <c r="C158" i="3"/>
  <c r="D158" i="3" s="1"/>
  <c r="B158" i="3"/>
  <c r="A158" i="3"/>
  <c r="C157" i="3"/>
  <c r="B157" i="3"/>
  <c r="A157" i="3"/>
  <c r="C156" i="3"/>
  <c r="D156" i="3" s="1"/>
  <c r="B156" i="3"/>
  <c r="A156" i="3"/>
  <c r="E155" i="3"/>
  <c r="C155" i="3"/>
  <c r="F155" i="3" s="1"/>
  <c r="B155" i="3"/>
  <c r="A155" i="3"/>
  <c r="C154" i="3"/>
  <c r="D154" i="3" s="1"/>
  <c r="B154" i="3"/>
  <c r="A154" i="3"/>
  <c r="C153" i="3"/>
  <c r="B153" i="3"/>
  <c r="A153" i="3"/>
  <c r="E152" i="3"/>
  <c r="C152" i="3"/>
  <c r="D152" i="3" s="1"/>
  <c r="B152" i="3"/>
  <c r="A152" i="3"/>
  <c r="C151" i="3"/>
  <c r="D151" i="3" s="1"/>
  <c r="B151" i="3"/>
  <c r="A151" i="3"/>
  <c r="F150" i="3"/>
  <c r="E150" i="3"/>
  <c r="C150" i="3"/>
  <c r="D150" i="3" s="1"/>
  <c r="B150" i="3"/>
  <c r="A150" i="3"/>
  <c r="C149" i="3"/>
  <c r="D149" i="3" s="1"/>
  <c r="B149" i="3"/>
  <c r="A149" i="3"/>
  <c r="F148" i="3"/>
  <c r="E148" i="3"/>
  <c r="C148" i="3"/>
  <c r="D148" i="3" s="1"/>
  <c r="B148" i="3"/>
  <c r="A148" i="3"/>
  <c r="D147" i="3"/>
  <c r="C147" i="3"/>
  <c r="B147" i="3"/>
  <c r="A147" i="3"/>
  <c r="E146" i="3"/>
  <c r="C146" i="3"/>
  <c r="B146" i="3"/>
  <c r="A146" i="3"/>
  <c r="F145" i="3"/>
  <c r="D145" i="3"/>
  <c r="C145" i="3"/>
  <c r="B145" i="3"/>
  <c r="A145" i="3"/>
  <c r="C144" i="3"/>
  <c r="B144" i="3"/>
  <c r="A144" i="3"/>
  <c r="F143" i="3"/>
  <c r="E143" i="3"/>
  <c r="D143" i="3"/>
  <c r="C143" i="3"/>
  <c r="B143" i="3"/>
  <c r="A143" i="3"/>
  <c r="C142" i="3"/>
  <c r="B142" i="3"/>
  <c r="A142" i="3"/>
  <c r="E141" i="3"/>
  <c r="C141" i="3"/>
  <c r="F141" i="3" s="1"/>
  <c r="B141" i="3"/>
  <c r="A141" i="3"/>
  <c r="C140" i="3"/>
  <c r="D140" i="3" s="1"/>
  <c r="B140" i="3"/>
  <c r="A140" i="3"/>
  <c r="C139" i="3"/>
  <c r="F139" i="3" s="1"/>
  <c r="B139" i="3"/>
  <c r="A139" i="3"/>
  <c r="F138" i="3"/>
  <c r="C138" i="3"/>
  <c r="D138" i="3" s="1"/>
  <c r="B138" i="3"/>
  <c r="A138" i="3"/>
  <c r="C137" i="3"/>
  <c r="F137" i="3" s="1"/>
  <c r="B137" i="3"/>
  <c r="A137" i="3"/>
  <c r="F136" i="3"/>
  <c r="E136" i="3"/>
  <c r="C136" i="3"/>
  <c r="D136" i="3" s="1"/>
  <c r="B136" i="3"/>
  <c r="A136" i="3"/>
  <c r="C135" i="3"/>
  <c r="B135" i="3"/>
  <c r="A135" i="3"/>
  <c r="E134" i="3"/>
  <c r="C134" i="3"/>
  <c r="B134" i="3"/>
  <c r="A134" i="3"/>
  <c r="E133" i="3"/>
  <c r="C133" i="3"/>
  <c r="B133" i="3"/>
  <c r="A133" i="3"/>
  <c r="C132" i="3"/>
  <c r="D132" i="3" s="1"/>
  <c r="B132" i="3"/>
  <c r="A132" i="3"/>
  <c r="E131" i="3"/>
  <c r="C131" i="3"/>
  <c r="F131" i="3" s="1"/>
  <c r="B131" i="3"/>
  <c r="A131" i="3"/>
  <c r="C130" i="3"/>
  <c r="D130" i="3" s="1"/>
  <c r="B130" i="3"/>
  <c r="A130" i="3"/>
  <c r="C129" i="3"/>
  <c r="B129" i="3"/>
  <c r="A129" i="3"/>
  <c r="F128" i="3"/>
  <c r="E128" i="3"/>
  <c r="C128" i="3"/>
  <c r="D128" i="3" s="1"/>
  <c r="B128" i="3"/>
  <c r="A128" i="3"/>
  <c r="C127" i="3"/>
  <c r="D127" i="3" s="1"/>
  <c r="B127" i="3"/>
  <c r="A127" i="3"/>
  <c r="E126" i="3"/>
  <c r="C126" i="3"/>
  <c r="B126" i="3"/>
  <c r="A126" i="3"/>
  <c r="C125" i="3"/>
  <c r="D125" i="3" s="1"/>
  <c r="B125" i="3"/>
  <c r="A125" i="3"/>
  <c r="E124" i="3"/>
  <c r="C124" i="3"/>
  <c r="D124" i="3" s="1"/>
  <c r="B124" i="3"/>
  <c r="A124" i="3"/>
  <c r="D123" i="3"/>
  <c r="C123" i="3"/>
  <c r="B123" i="3"/>
  <c r="A123" i="3"/>
  <c r="C122" i="3"/>
  <c r="D122" i="3" s="1"/>
  <c r="B122" i="3"/>
  <c r="A122" i="3"/>
  <c r="F121" i="3"/>
  <c r="E121" i="3"/>
  <c r="D121" i="3"/>
  <c r="C121" i="3"/>
  <c r="B121" i="3"/>
  <c r="A121" i="3"/>
  <c r="C120" i="3"/>
  <c r="B120" i="3"/>
  <c r="A120" i="3"/>
  <c r="E119" i="3"/>
  <c r="C119" i="3"/>
  <c r="F119" i="3" s="1"/>
  <c r="B119" i="3"/>
  <c r="A119" i="3"/>
  <c r="C118" i="3"/>
  <c r="B118" i="3"/>
  <c r="A118" i="3"/>
  <c r="C117" i="3"/>
  <c r="F117" i="3" s="1"/>
  <c r="B117" i="3"/>
  <c r="A117" i="3"/>
  <c r="C116" i="3"/>
  <c r="D116" i="3" s="1"/>
  <c r="B116" i="3"/>
  <c r="A116" i="3"/>
  <c r="C115" i="3"/>
  <c r="F115" i="3" s="1"/>
  <c r="B115" i="3"/>
  <c r="A115" i="3"/>
  <c r="F114" i="3"/>
  <c r="C114" i="3"/>
  <c r="D114" i="3" s="1"/>
  <c r="B114" i="3"/>
  <c r="A114" i="3"/>
  <c r="D113" i="3"/>
  <c r="C113" i="3"/>
  <c r="B113" i="3"/>
  <c r="A113" i="3"/>
  <c r="F112" i="3"/>
  <c r="E112" i="3"/>
  <c r="C112" i="3"/>
  <c r="D112" i="3" s="1"/>
  <c r="B112" i="3"/>
  <c r="A112" i="3"/>
  <c r="C111" i="3"/>
  <c r="D111" i="3" s="1"/>
  <c r="B111" i="3"/>
  <c r="A111" i="3"/>
  <c r="C110" i="3"/>
  <c r="D110" i="3" s="1"/>
  <c r="B110" i="3"/>
  <c r="A110" i="3"/>
  <c r="E109" i="3"/>
  <c r="C109" i="3"/>
  <c r="F109" i="3" s="1"/>
  <c r="B109" i="3"/>
  <c r="A109" i="3"/>
  <c r="C108" i="3"/>
  <c r="D108" i="3" s="1"/>
  <c r="B108" i="3"/>
  <c r="A108" i="3"/>
  <c r="E107" i="3"/>
  <c r="C107" i="3"/>
  <c r="F107" i="3" s="1"/>
  <c r="B107" i="3"/>
  <c r="A107" i="3"/>
  <c r="C106" i="3"/>
  <c r="D106" i="3" s="1"/>
  <c r="B106" i="3"/>
  <c r="A106" i="3"/>
  <c r="C105" i="3"/>
  <c r="B105" i="3"/>
  <c r="A105" i="3"/>
  <c r="E104" i="3"/>
  <c r="C104" i="3"/>
  <c r="D104" i="3" s="1"/>
  <c r="B104" i="3"/>
  <c r="A104" i="3"/>
  <c r="C103" i="3"/>
  <c r="D103" i="3" s="1"/>
  <c r="B103" i="3"/>
  <c r="A103" i="3"/>
  <c r="E102" i="3"/>
  <c r="C102" i="3"/>
  <c r="D102" i="3" s="1"/>
  <c r="B102" i="3"/>
  <c r="A102" i="3"/>
  <c r="C101" i="3"/>
  <c r="D101" i="3" s="1"/>
  <c r="B101" i="3"/>
  <c r="A101" i="3"/>
  <c r="E100" i="3"/>
  <c r="C100" i="3"/>
  <c r="D100" i="3" s="1"/>
  <c r="B100" i="3"/>
  <c r="A100" i="3"/>
  <c r="D99" i="3"/>
  <c r="C99" i="3"/>
  <c r="B99" i="3"/>
  <c r="A99" i="3"/>
  <c r="C98" i="3"/>
  <c r="D98" i="3" s="1"/>
  <c r="B98" i="3"/>
  <c r="A98" i="3"/>
  <c r="E97" i="3"/>
  <c r="C97" i="3"/>
  <c r="F97" i="3" s="1"/>
  <c r="B97" i="3"/>
  <c r="A97" i="3"/>
  <c r="C96" i="3"/>
  <c r="B96" i="3"/>
  <c r="A96" i="3"/>
  <c r="E95" i="3"/>
  <c r="C95" i="3"/>
  <c r="B95" i="3"/>
  <c r="A95" i="3"/>
  <c r="C94" i="3"/>
  <c r="B94" i="3"/>
  <c r="A94" i="3"/>
  <c r="C93" i="3"/>
  <c r="F93" i="3" s="1"/>
  <c r="B93" i="3"/>
  <c r="A93" i="3"/>
  <c r="C92" i="3"/>
  <c r="D92" i="3" s="1"/>
  <c r="B92" i="3"/>
  <c r="A92" i="3"/>
  <c r="F91" i="3"/>
  <c r="D91" i="3"/>
  <c r="C91" i="3"/>
  <c r="B91" i="3"/>
  <c r="A91" i="3"/>
  <c r="F90" i="3"/>
  <c r="C90" i="3"/>
  <c r="D90" i="3" s="1"/>
  <c r="B90" i="3"/>
  <c r="A90" i="3"/>
  <c r="D89" i="3"/>
  <c r="C89" i="3"/>
  <c r="B89" i="3"/>
  <c r="A89" i="3"/>
  <c r="F88" i="3"/>
  <c r="E88" i="3"/>
  <c r="C88" i="3"/>
  <c r="D88" i="3" s="1"/>
  <c r="B88" i="3"/>
  <c r="A88" i="3"/>
  <c r="C87" i="3"/>
  <c r="F87" i="3" s="1"/>
  <c r="B87" i="3"/>
  <c r="A87" i="3"/>
  <c r="C86" i="3"/>
  <c r="D86" i="3" s="1"/>
  <c r="B86" i="3"/>
  <c r="A86" i="3"/>
  <c r="E85" i="3"/>
  <c r="C85" i="3"/>
  <c r="F85" i="3" s="1"/>
  <c r="B85" i="3"/>
  <c r="A85" i="3"/>
  <c r="C84" i="3"/>
  <c r="D84" i="3" s="1"/>
  <c r="B84" i="3"/>
  <c r="A84" i="3"/>
  <c r="E83" i="3"/>
  <c r="C83" i="3"/>
  <c r="F83" i="3" s="1"/>
  <c r="B83" i="3"/>
  <c r="A83" i="3"/>
  <c r="C82" i="3"/>
  <c r="D82" i="3" s="1"/>
  <c r="B82" i="3"/>
  <c r="A82" i="3"/>
  <c r="C81" i="3"/>
  <c r="B81" i="3"/>
  <c r="A81" i="3"/>
  <c r="F80" i="3"/>
  <c r="E80" i="3"/>
  <c r="C80" i="3"/>
  <c r="D80" i="3" s="1"/>
  <c r="B80" i="3"/>
  <c r="A80" i="3"/>
  <c r="C79" i="3"/>
  <c r="B79" i="3"/>
  <c r="A79" i="3"/>
  <c r="E78" i="3"/>
  <c r="C78" i="3"/>
  <c r="F78" i="3" s="1"/>
  <c r="B78" i="3"/>
  <c r="A78" i="3"/>
  <c r="C77" i="3"/>
  <c r="B77" i="3"/>
  <c r="A77" i="3"/>
  <c r="E76" i="3"/>
  <c r="C76" i="3"/>
  <c r="F76" i="3" s="1"/>
  <c r="B76" i="3"/>
  <c r="A76" i="3"/>
  <c r="C75" i="3"/>
  <c r="F75" i="3" s="1"/>
  <c r="B75" i="3"/>
  <c r="A75" i="3"/>
  <c r="C74" i="3"/>
  <c r="F74" i="3" s="1"/>
  <c r="B74" i="3"/>
  <c r="A74" i="3"/>
  <c r="C73" i="3"/>
  <c r="F73" i="3" s="1"/>
  <c r="B73" i="3"/>
  <c r="A73" i="3"/>
  <c r="C72" i="3"/>
  <c r="B72" i="3"/>
  <c r="A72" i="3"/>
  <c r="E71" i="3"/>
  <c r="C71" i="3"/>
  <c r="B71" i="3"/>
  <c r="A71" i="3"/>
  <c r="D70" i="3"/>
  <c r="C70" i="3"/>
  <c r="B70" i="3"/>
  <c r="A70" i="3"/>
  <c r="C69" i="3"/>
  <c r="F69" i="3" s="1"/>
  <c r="B69" i="3"/>
  <c r="A69" i="3"/>
  <c r="F68" i="3"/>
  <c r="E68" i="3"/>
  <c r="D68" i="3"/>
  <c r="C68" i="3"/>
  <c r="B68" i="3"/>
  <c r="A68" i="3"/>
  <c r="C67" i="3"/>
  <c r="B67" i="3"/>
  <c r="A67" i="3"/>
  <c r="E66" i="3"/>
  <c r="C66" i="3"/>
  <c r="F66" i="3" s="1"/>
  <c r="B66" i="3"/>
  <c r="A66" i="3"/>
  <c r="D65" i="3"/>
  <c r="C65" i="3"/>
  <c r="B65" i="3"/>
  <c r="A65" i="3"/>
  <c r="E64" i="3"/>
  <c r="C64" i="3"/>
  <c r="B64" i="3"/>
  <c r="A64" i="3"/>
  <c r="D63" i="3"/>
  <c r="C63" i="3"/>
  <c r="B63" i="3"/>
  <c r="A63" i="3"/>
  <c r="C62" i="3"/>
  <c r="F62" i="3" s="1"/>
  <c r="B62" i="3"/>
  <c r="A62" i="3"/>
  <c r="C61" i="3"/>
  <c r="F61" i="3" s="1"/>
  <c r="B61" i="3"/>
  <c r="A61" i="3"/>
  <c r="C60" i="3"/>
  <c r="B60" i="3"/>
  <c r="A60" i="3"/>
  <c r="E59" i="3"/>
  <c r="C59" i="3"/>
  <c r="F59" i="3" s="1"/>
  <c r="B59" i="3"/>
  <c r="A59" i="3"/>
  <c r="C58" i="3"/>
  <c r="B58" i="3"/>
  <c r="A58" i="3"/>
  <c r="C57" i="3"/>
  <c r="F57" i="3" s="1"/>
  <c r="B57" i="3"/>
  <c r="A57" i="3"/>
  <c r="F56" i="3"/>
  <c r="E56" i="3"/>
  <c r="C56" i="3"/>
  <c r="D56" i="3" s="1"/>
  <c r="B56" i="3"/>
  <c r="A56" i="3"/>
  <c r="C55" i="3"/>
  <c r="B55" i="3"/>
  <c r="A55" i="3"/>
  <c r="E54" i="3"/>
  <c r="C54" i="3"/>
  <c r="F54" i="3" s="1"/>
  <c r="B54" i="3"/>
  <c r="A54" i="3"/>
  <c r="C53" i="3"/>
  <c r="B53" i="3"/>
  <c r="A53" i="3"/>
  <c r="E52" i="3"/>
  <c r="C52" i="3"/>
  <c r="F52" i="3" s="1"/>
  <c r="B52" i="3"/>
  <c r="A52" i="3"/>
  <c r="C51" i="3"/>
  <c r="B51" i="3"/>
  <c r="A51" i="3"/>
  <c r="C50" i="3"/>
  <c r="D50" i="3" s="1"/>
  <c r="B50" i="3"/>
  <c r="A50" i="3"/>
  <c r="C49" i="3"/>
  <c r="F49" i="3" s="1"/>
  <c r="B49" i="3"/>
  <c r="A49" i="3"/>
  <c r="C48" i="3"/>
  <c r="B48" i="3"/>
  <c r="A48" i="3"/>
  <c r="E47" i="3"/>
  <c r="C47" i="3"/>
  <c r="F47" i="3" s="1"/>
  <c r="B47" i="3"/>
  <c r="A47" i="3"/>
  <c r="C46" i="3"/>
  <c r="B46" i="3"/>
  <c r="A46" i="3"/>
  <c r="C45" i="3"/>
  <c r="B45" i="3"/>
  <c r="A45" i="3"/>
  <c r="F44" i="3"/>
  <c r="D44" i="3"/>
  <c r="C44" i="3"/>
  <c r="B44" i="3"/>
  <c r="A44" i="3"/>
  <c r="C43" i="3"/>
  <c r="B43" i="3"/>
  <c r="A43" i="3"/>
  <c r="F42" i="3"/>
  <c r="E42" i="3"/>
  <c r="D42" i="3"/>
  <c r="C42" i="3"/>
  <c r="B42" i="3"/>
  <c r="A42" i="3"/>
  <c r="C41" i="3"/>
  <c r="B41" i="3"/>
  <c r="A41" i="3"/>
  <c r="E40" i="3"/>
  <c r="C40" i="3"/>
  <c r="F40" i="3" s="1"/>
  <c r="B40" i="3"/>
  <c r="A40" i="3"/>
  <c r="D39" i="3"/>
  <c r="C39" i="3"/>
  <c r="B39" i="3"/>
  <c r="A39" i="3"/>
  <c r="C38" i="3"/>
  <c r="B38" i="3"/>
  <c r="A38" i="3"/>
  <c r="D37" i="3"/>
  <c r="C37" i="3"/>
  <c r="B37" i="3"/>
  <c r="A37" i="3"/>
  <c r="C36" i="3"/>
  <c r="B36" i="3"/>
  <c r="A36" i="3"/>
  <c r="E35" i="3"/>
  <c r="C35" i="3"/>
  <c r="F35" i="3" s="1"/>
  <c r="B35" i="3"/>
  <c r="A35" i="3"/>
  <c r="C34" i="3"/>
  <c r="F34" i="3" s="1"/>
  <c r="B34" i="3"/>
  <c r="A34" i="3"/>
  <c r="C33" i="3"/>
  <c r="F33" i="3" s="1"/>
  <c r="B33" i="3"/>
  <c r="A33" i="3"/>
  <c r="E32" i="3"/>
  <c r="C32" i="3"/>
  <c r="F32" i="3" s="1"/>
  <c r="B32" i="3"/>
  <c r="A32" i="3"/>
  <c r="C31" i="3"/>
  <c r="B31" i="3"/>
  <c r="A31" i="3"/>
  <c r="F30" i="3"/>
  <c r="E30" i="3"/>
  <c r="C30" i="3"/>
  <c r="D30" i="3" s="1"/>
  <c r="B30" i="3"/>
  <c r="A30" i="3"/>
  <c r="C29" i="3"/>
  <c r="B29" i="3"/>
  <c r="A29" i="3"/>
  <c r="F28" i="3"/>
  <c r="E28" i="3"/>
  <c r="D28" i="3"/>
  <c r="C28" i="3"/>
  <c r="B28" i="3"/>
  <c r="A28" i="3"/>
  <c r="C27" i="3"/>
  <c r="B27" i="3"/>
  <c r="A27" i="3"/>
  <c r="E26" i="3"/>
  <c r="C26" i="3"/>
  <c r="F26" i="3" s="1"/>
  <c r="B26" i="3"/>
  <c r="A26" i="3"/>
  <c r="D25" i="3"/>
  <c r="C25" i="3"/>
  <c r="B25" i="3"/>
  <c r="A25" i="3"/>
  <c r="C24" i="3"/>
  <c r="B24" i="3"/>
  <c r="A24" i="3"/>
  <c r="E23" i="3"/>
  <c r="C23" i="3"/>
  <c r="F23" i="3" s="1"/>
  <c r="B23" i="3"/>
  <c r="A23" i="3"/>
  <c r="C22" i="3"/>
  <c r="F22" i="3" s="1"/>
  <c r="B22" i="3"/>
  <c r="A22" i="3"/>
  <c r="D21" i="3"/>
  <c r="C21" i="3"/>
  <c r="F21" i="3" s="1"/>
  <c r="B21" i="3"/>
  <c r="A21" i="3"/>
  <c r="E20" i="3"/>
  <c r="C20" i="3"/>
  <c r="F20" i="3" s="1"/>
  <c r="B20" i="3"/>
  <c r="A20" i="3"/>
  <c r="C19" i="3"/>
  <c r="F19" i="3" s="1"/>
  <c r="B19" i="3"/>
  <c r="A19" i="3"/>
  <c r="E18" i="3"/>
  <c r="C18" i="3"/>
  <c r="F18" i="3" s="1"/>
  <c r="B18" i="3"/>
  <c r="A18" i="3"/>
  <c r="C17" i="3"/>
  <c r="B17" i="3"/>
  <c r="A17" i="3"/>
  <c r="F16" i="3"/>
  <c r="E16" i="3"/>
  <c r="C16" i="3"/>
  <c r="D16" i="3" s="1"/>
  <c r="B16" i="3"/>
  <c r="A16" i="3"/>
  <c r="C15" i="3"/>
  <c r="B15" i="3"/>
  <c r="A15" i="3"/>
  <c r="E14" i="3"/>
  <c r="C14" i="3"/>
  <c r="F14" i="3" s="1"/>
  <c r="B14" i="3"/>
  <c r="A14" i="3"/>
  <c r="C13" i="3"/>
  <c r="B13" i="3"/>
  <c r="A13" i="3"/>
  <c r="C12" i="3"/>
  <c r="B12" i="3"/>
  <c r="A12" i="3"/>
  <c r="E11" i="3"/>
  <c r="D11" i="3"/>
  <c r="C11" i="3"/>
  <c r="F11" i="3" s="1"/>
  <c r="B11" i="3"/>
  <c r="A11" i="3"/>
  <c r="C10" i="3"/>
  <c r="B10" i="3"/>
  <c r="A10" i="3"/>
  <c r="D9" i="3"/>
  <c r="C9" i="3"/>
  <c r="B9" i="3"/>
  <c r="A9" i="3"/>
  <c r="E8" i="3"/>
  <c r="C8" i="3"/>
  <c r="F8" i="3" s="1"/>
  <c r="B8" i="3"/>
  <c r="A8" i="3"/>
  <c r="C7" i="3"/>
  <c r="F7" i="3" s="1"/>
  <c r="B7" i="3"/>
  <c r="A7" i="3"/>
  <c r="E6" i="3"/>
  <c r="C6" i="3"/>
  <c r="F6" i="3" s="1"/>
  <c r="B6" i="3"/>
  <c r="A6" i="3"/>
  <c r="C5" i="3"/>
  <c r="B5" i="3"/>
  <c r="A5" i="3"/>
  <c r="F4" i="3"/>
  <c r="E4" i="3"/>
  <c r="D4" i="3"/>
  <c r="C4" i="3"/>
  <c r="B4" i="3"/>
  <c r="A4" i="3"/>
  <c r="C3" i="3"/>
  <c r="D3" i="3" s="1"/>
  <c r="B3" i="3"/>
  <c r="A3" i="3"/>
  <c r="F252" i="2"/>
  <c r="E252" i="2"/>
  <c r="D252" i="2"/>
  <c r="C252" i="2"/>
  <c r="B252" i="2"/>
  <c r="A252" i="2"/>
  <c r="G251" i="2"/>
  <c r="E251" i="3" s="1"/>
  <c r="F251" i="2"/>
  <c r="E251" i="2"/>
  <c r="D251" i="2"/>
  <c r="C251" i="2"/>
  <c r="B251" i="2"/>
  <c r="A251" i="2"/>
  <c r="G250" i="2"/>
  <c r="F250" i="2"/>
  <c r="E250" i="2"/>
  <c r="D250" i="2"/>
  <c r="C250" i="2"/>
  <c r="B250" i="2"/>
  <c r="A250" i="2"/>
  <c r="G249" i="2"/>
  <c r="F249" i="2"/>
  <c r="E249" i="2"/>
  <c r="D249" i="2"/>
  <c r="C249" i="2"/>
  <c r="B249" i="2"/>
  <c r="A249" i="2"/>
  <c r="G248" i="2"/>
  <c r="F248" i="2"/>
  <c r="E248" i="2"/>
  <c r="D248" i="2"/>
  <c r="C248" i="2"/>
  <c r="B248" i="2"/>
  <c r="A248" i="2"/>
  <c r="G247" i="2"/>
  <c r="E247" i="3" s="1"/>
  <c r="F247" i="2"/>
  <c r="E247" i="2"/>
  <c r="D247" i="2"/>
  <c r="C247" i="2"/>
  <c r="B247" i="2"/>
  <c r="A247" i="2"/>
  <c r="G246" i="2"/>
  <c r="F246" i="2"/>
  <c r="E246" i="2"/>
  <c r="D246" i="2"/>
  <c r="C246" i="2"/>
  <c r="B246" i="2"/>
  <c r="A246" i="2"/>
  <c r="G245" i="2"/>
  <c r="F245" i="3" s="1"/>
  <c r="F245" i="2"/>
  <c r="E245" i="2"/>
  <c r="D245" i="2"/>
  <c r="C245" i="2"/>
  <c r="B245" i="2"/>
  <c r="A245" i="2"/>
  <c r="G244" i="2"/>
  <c r="F244" i="2"/>
  <c r="E244" i="2"/>
  <c r="D244" i="2"/>
  <c r="C244" i="2"/>
  <c r="B244" i="2"/>
  <c r="A244" i="2"/>
  <c r="G243" i="2"/>
  <c r="F243" i="2"/>
  <c r="E243" i="2"/>
  <c r="D243" i="2"/>
  <c r="C243" i="2"/>
  <c r="B243" i="2"/>
  <c r="A243" i="2"/>
  <c r="G242" i="2"/>
  <c r="F242" i="3" s="1"/>
  <c r="F242" i="2"/>
  <c r="E242" i="2"/>
  <c r="D242" i="2"/>
  <c r="C242" i="2"/>
  <c r="B242" i="2"/>
  <c r="A242" i="2"/>
  <c r="G241" i="2"/>
  <c r="F241" i="2"/>
  <c r="E241" i="2"/>
  <c r="D241" i="2"/>
  <c r="C241" i="2"/>
  <c r="B241" i="2"/>
  <c r="A241" i="2"/>
  <c r="G240" i="2"/>
  <c r="F240" i="2"/>
  <c r="E240" i="2"/>
  <c r="D240" i="2"/>
  <c r="C240" i="2"/>
  <c r="B240" i="2"/>
  <c r="A240" i="2"/>
  <c r="G239" i="2"/>
  <c r="F239" i="2"/>
  <c r="E239" i="2"/>
  <c r="D239" i="2"/>
  <c r="C239" i="2"/>
  <c r="B239" i="2"/>
  <c r="A239" i="2"/>
  <c r="G238" i="2"/>
  <c r="F238" i="2"/>
  <c r="E238" i="2"/>
  <c r="D238" i="2"/>
  <c r="C238" i="2"/>
  <c r="B238" i="2"/>
  <c r="A238" i="2"/>
  <c r="G237" i="2"/>
  <c r="F237" i="2"/>
  <c r="E237" i="2"/>
  <c r="D237" i="2"/>
  <c r="C237" i="2"/>
  <c r="B237" i="2"/>
  <c r="A237" i="2"/>
  <c r="G236" i="2"/>
  <c r="F236" i="2"/>
  <c r="E236" i="2"/>
  <c r="D236" i="2"/>
  <c r="C236" i="2"/>
  <c r="B236" i="2"/>
  <c r="A236" i="2"/>
  <c r="G235" i="2"/>
  <c r="F235" i="3" s="1"/>
  <c r="F235" i="2"/>
  <c r="E235" i="2"/>
  <c r="D235" i="2"/>
  <c r="C235" i="2"/>
  <c r="B235" i="2"/>
  <c r="A235" i="2"/>
  <c r="G234" i="2"/>
  <c r="E234" i="3" s="1"/>
  <c r="F234" i="2"/>
  <c r="E234" i="2"/>
  <c r="D234" i="2"/>
  <c r="C234" i="2"/>
  <c r="B234" i="2"/>
  <c r="A234" i="2"/>
  <c r="G233" i="2"/>
  <c r="F233" i="2"/>
  <c r="E233" i="2"/>
  <c r="D233" i="2"/>
  <c r="C233" i="2"/>
  <c r="B233" i="2"/>
  <c r="A233" i="2"/>
  <c r="G232" i="2"/>
  <c r="F232" i="2"/>
  <c r="E232" i="2"/>
  <c r="D232" i="2"/>
  <c r="C232" i="2"/>
  <c r="B232" i="2"/>
  <c r="A232" i="2"/>
  <c r="G231" i="2"/>
  <c r="F231" i="2"/>
  <c r="E231" i="2"/>
  <c r="D231" i="2"/>
  <c r="C231" i="2"/>
  <c r="B231" i="2"/>
  <c r="A231" i="2"/>
  <c r="G230" i="2"/>
  <c r="F230" i="2"/>
  <c r="E230" i="2"/>
  <c r="D230" i="2"/>
  <c r="C230" i="2"/>
  <c r="B230" i="2"/>
  <c r="A230" i="2"/>
  <c r="G229" i="2"/>
  <c r="F229" i="2"/>
  <c r="E229" i="2"/>
  <c r="D229" i="2"/>
  <c r="C229" i="2"/>
  <c r="B229" i="2"/>
  <c r="A229" i="2"/>
  <c r="G228" i="2"/>
  <c r="F228" i="2"/>
  <c r="E228" i="2"/>
  <c r="D228" i="2"/>
  <c r="C228" i="2"/>
  <c r="B228" i="2"/>
  <c r="A228" i="2"/>
  <c r="G227" i="2"/>
  <c r="F227" i="3" s="1"/>
  <c r="F227" i="2"/>
  <c r="E227" i="2"/>
  <c r="D227" i="2"/>
  <c r="C227" i="2"/>
  <c r="B227" i="2"/>
  <c r="A227" i="2"/>
  <c r="G226" i="2"/>
  <c r="F226" i="2"/>
  <c r="E226" i="2"/>
  <c r="D226" i="2"/>
  <c r="C226" i="2"/>
  <c r="B226" i="2"/>
  <c r="A226" i="2"/>
  <c r="G225" i="2"/>
  <c r="F225" i="2"/>
  <c r="E225" i="2"/>
  <c r="D225" i="2"/>
  <c r="C225" i="2"/>
  <c r="B225" i="2"/>
  <c r="A225" i="2"/>
  <c r="G224" i="2"/>
  <c r="E224" i="3" s="1"/>
  <c r="F224" i="2"/>
  <c r="E224" i="2"/>
  <c r="D224" i="2"/>
  <c r="C224" i="2"/>
  <c r="B224" i="2"/>
  <c r="A224" i="2"/>
  <c r="G223" i="2"/>
  <c r="E223" i="3" s="1"/>
  <c r="F223" i="2"/>
  <c r="E223" i="2"/>
  <c r="D223" i="2"/>
  <c r="C223" i="2"/>
  <c r="B223" i="2"/>
  <c r="A223" i="2"/>
  <c r="G222" i="2"/>
  <c r="F222" i="2"/>
  <c r="E222" i="2"/>
  <c r="D222" i="2"/>
  <c r="C222" i="2"/>
  <c r="B222" i="2"/>
  <c r="A222" i="2"/>
  <c r="G221" i="2"/>
  <c r="F221" i="2"/>
  <c r="E221" i="2"/>
  <c r="D221" i="2"/>
  <c r="C221" i="2"/>
  <c r="B221" i="2"/>
  <c r="A221" i="2"/>
  <c r="G220" i="2"/>
  <c r="F220" i="2"/>
  <c r="E220" i="2"/>
  <c r="D220" i="2"/>
  <c r="C220" i="2"/>
  <c r="B220" i="2"/>
  <c r="A220" i="2"/>
  <c r="G219" i="2"/>
  <c r="F219" i="2"/>
  <c r="E219" i="2"/>
  <c r="D219" i="2"/>
  <c r="C219" i="2"/>
  <c r="B219" i="2"/>
  <c r="A219" i="2"/>
  <c r="G218" i="2"/>
  <c r="F218" i="2"/>
  <c r="E218" i="2"/>
  <c r="D218" i="2"/>
  <c r="C218" i="2"/>
  <c r="B218" i="2"/>
  <c r="A218" i="2"/>
  <c r="G217" i="2"/>
  <c r="F217" i="3" s="1"/>
  <c r="F217" i="2"/>
  <c r="E217" i="2"/>
  <c r="D217" i="2"/>
  <c r="C217" i="2"/>
  <c r="B217" i="2"/>
  <c r="A217" i="2"/>
  <c r="G216" i="2"/>
  <c r="F216" i="3" s="1"/>
  <c r="F216" i="2"/>
  <c r="E216" i="2"/>
  <c r="D216" i="2"/>
  <c r="C216" i="2"/>
  <c r="B216" i="2"/>
  <c r="A216" i="2"/>
  <c r="G215" i="2"/>
  <c r="F215" i="2"/>
  <c r="E215" i="2"/>
  <c r="D215" i="2"/>
  <c r="C215" i="2"/>
  <c r="B215" i="2"/>
  <c r="A215" i="2"/>
  <c r="G214" i="2"/>
  <c r="F214" i="2"/>
  <c r="E214" i="2"/>
  <c r="D214" i="2"/>
  <c r="C214" i="2"/>
  <c r="B214" i="2"/>
  <c r="A214" i="2"/>
  <c r="G213" i="2"/>
  <c r="F213" i="2"/>
  <c r="E213" i="2"/>
  <c r="D213" i="2"/>
  <c r="C213" i="2"/>
  <c r="B213" i="2"/>
  <c r="A213" i="2"/>
  <c r="G212" i="2"/>
  <c r="F212" i="2"/>
  <c r="E212" i="2"/>
  <c r="D212" i="2"/>
  <c r="C212" i="2"/>
  <c r="B212" i="2"/>
  <c r="A212" i="2"/>
  <c r="G211" i="2"/>
  <c r="F211" i="3" s="1"/>
  <c r="F211" i="2"/>
  <c r="E211" i="2"/>
  <c r="D211" i="2"/>
  <c r="C211" i="2"/>
  <c r="B211" i="2"/>
  <c r="A211" i="2"/>
  <c r="G210" i="2"/>
  <c r="E210" i="3" s="1"/>
  <c r="F210" i="2"/>
  <c r="E210" i="2"/>
  <c r="D210" i="2"/>
  <c r="C210" i="2"/>
  <c r="B210" i="2"/>
  <c r="A210" i="2"/>
  <c r="G209" i="2"/>
  <c r="F209" i="2"/>
  <c r="E209" i="2"/>
  <c r="D209" i="2"/>
  <c r="C209" i="2"/>
  <c r="B209" i="2"/>
  <c r="A209" i="2"/>
  <c r="G208" i="2"/>
  <c r="F208" i="2"/>
  <c r="E208" i="2"/>
  <c r="D208" i="2"/>
  <c r="C208" i="2"/>
  <c r="B208" i="2"/>
  <c r="A208" i="2"/>
  <c r="G207" i="2"/>
  <c r="F207" i="2"/>
  <c r="E207" i="2"/>
  <c r="D207" i="2"/>
  <c r="C207" i="2"/>
  <c r="B207" i="2"/>
  <c r="A207" i="2"/>
  <c r="G206" i="2"/>
  <c r="F206" i="2"/>
  <c r="E206" i="2"/>
  <c r="D206" i="2"/>
  <c r="C206" i="2"/>
  <c r="B206" i="2"/>
  <c r="A206" i="2"/>
  <c r="G205" i="2"/>
  <c r="F205" i="3" s="1"/>
  <c r="F205" i="2"/>
  <c r="E205" i="2"/>
  <c r="D205" i="2"/>
  <c r="C205" i="2"/>
  <c r="B205" i="2"/>
  <c r="A205" i="2"/>
  <c r="G204" i="2"/>
  <c r="F204" i="3" s="1"/>
  <c r="F204" i="2"/>
  <c r="E204" i="2"/>
  <c r="D204" i="2"/>
  <c r="C204" i="2"/>
  <c r="B204" i="2"/>
  <c r="A204" i="2"/>
  <c r="G203" i="2"/>
  <c r="F203" i="3" s="1"/>
  <c r="F203" i="2"/>
  <c r="E203" i="2"/>
  <c r="D203" i="2"/>
  <c r="C203" i="2"/>
  <c r="B203" i="2"/>
  <c r="A203" i="2"/>
  <c r="G202" i="2"/>
  <c r="F202" i="2"/>
  <c r="E202" i="2"/>
  <c r="D202" i="2"/>
  <c r="C202" i="2"/>
  <c r="B202" i="2"/>
  <c r="A202" i="2"/>
  <c r="G201" i="2"/>
  <c r="F201" i="2"/>
  <c r="E201" i="2"/>
  <c r="D201" i="2"/>
  <c r="C201" i="2"/>
  <c r="B201" i="2"/>
  <c r="A201" i="2"/>
  <c r="G200" i="2"/>
  <c r="F200" i="3" s="1"/>
  <c r="F200" i="2"/>
  <c r="E200" i="2"/>
  <c r="D200" i="2"/>
  <c r="C200" i="2"/>
  <c r="B200" i="2"/>
  <c r="A200" i="2"/>
  <c r="G199" i="2"/>
  <c r="E199" i="3" s="1"/>
  <c r="F199" i="2"/>
  <c r="E199" i="2"/>
  <c r="D199" i="2"/>
  <c r="C199" i="2"/>
  <c r="B199" i="2"/>
  <c r="A199" i="2"/>
  <c r="G198" i="2"/>
  <c r="F198" i="2"/>
  <c r="E198" i="2"/>
  <c r="D198" i="2"/>
  <c r="C198" i="2"/>
  <c r="B198" i="2"/>
  <c r="A198" i="2"/>
  <c r="G197" i="2"/>
  <c r="F197" i="2"/>
  <c r="E197" i="2"/>
  <c r="D197" i="2"/>
  <c r="C197" i="2"/>
  <c r="B197" i="2"/>
  <c r="A197" i="2"/>
  <c r="G196" i="2"/>
  <c r="F196" i="2"/>
  <c r="E196" i="2"/>
  <c r="D196" i="2"/>
  <c r="C196" i="2"/>
  <c r="B196" i="2"/>
  <c r="A196" i="2"/>
  <c r="G195" i="2"/>
  <c r="F195" i="2"/>
  <c r="E195" i="2"/>
  <c r="D195" i="2"/>
  <c r="C195" i="2"/>
  <c r="B195" i="2"/>
  <c r="A195" i="2"/>
  <c r="G194" i="2"/>
  <c r="F194" i="2"/>
  <c r="E194" i="2"/>
  <c r="D194" i="2"/>
  <c r="C194" i="2"/>
  <c r="B194" i="2"/>
  <c r="A194" i="2"/>
  <c r="G193" i="2"/>
  <c r="F193" i="3" s="1"/>
  <c r="F193" i="2"/>
  <c r="E193" i="2"/>
  <c r="D193" i="2"/>
  <c r="C193" i="2"/>
  <c r="B193" i="2"/>
  <c r="A193" i="2"/>
  <c r="G192" i="2"/>
  <c r="F192" i="3" s="1"/>
  <c r="F192" i="2"/>
  <c r="E192" i="2"/>
  <c r="D192" i="2"/>
  <c r="C192" i="2"/>
  <c r="B192" i="2"/>
  <c r="A192" i="2"/>
  <c r="G191" i="2"/>
  <c r="F191" i="2"/>
  <c r="E191" i="2"/>
  <c r="D191" i="2"/>
  <c r="C191" i="2"/>
  <c r="B191" i="2"/>
  <c r="A191" i="2"/>
  <c r="G190" i="2"/>
  <c r="F190" i="2"/>
  <c r="E190" i="2"/>
  <c r="D190" i="2"/>
  <c r="C190" i="2"/>
  <c r="B190" i="2"/>
  <c r="A190" i="2"/>
  <c r="G189" i="2"/>
  <c r="F189" i="2"/>
  <c r="E189" i="2"/>
  <c r="D189" i="2"/>
  <c r="C189" i="2"/>
  <c r="B189" i="2"/>
  <c r="A189" i="2"/>
  <c r="G188" i="2"/>
  <c r="F188" i="2"/>
  <c r="E188" i="2"/>
  <c r="D188" i="2"/>
  <c r="C188" i="2"/>
  <c r="B188" i="2"/>
  <c r="A188" i="2"/>
  <c r="G187" i="2"/>
  <c r="F187" i="3" s="1"/>
  <c r="F187" i="2"/>
  <c r="E187" i="2"/>
  <c r="D187" i="2"/>
  <c r="C187" i="2"/>
  <c r="B187" i="2"/>
  <c r="A187" i="2"/>
  <c r="G186" i="2"/>
  <c r="E186" i="3" s="1"/>
  <c r="F186" i="2"/>
  <c r="E186" i="2"/>
  <c r="D186" i="2"/>
  <c r="C186" i="2"/>
  <c r="B186" i="2"/>
  <c r="A186" i="2"/>
  <c r="G185" i="2"/>
  <c r="F185" i="2"/>
  <c r="E185" i="2"/>
  <c r="D185" i="2"/>
  <c r="C185" i="2"/>
  <c r="B185" i="2"/>
  <c r="A185" i="2"/>
  <c r="G184" i="2"/>
  <c r="F184" i="2"/>
  <c r="E184" i="2"/>
  <c r="D184" i="2"/>
  <c r="C184" i="2"/>
  <c r="B184" i="2"/>
  <c r="A184" i="2"/>
  <c r="G183" i="2"/>
  <c r="F183" i="2"/>
  <c r="E183" i="2"/>
  <c r="D183" i="2"/>
  <c r="C183" i="2"/>
  <c r="B183" i="2"/>
  <c r="A183" i="2"/>
  <c r="G182" i="2"/>
  <c r="F182" i="2"/>
  <c r="E182" i="2"/>
  <c r="D182" i="2"/>
  <c r="C182" i="2"/>
  <c r="B182" i="2"/>
  <c r="A182" i="2"/>
  <c r="G181" i="2"/>
  <c r="F181" i="3" s="1"/>
  <c r="F181" i="2"/>
  <c r="E181" i="2"/>
  <c r="D181" i="2"/>
  <c r="C181" i="2"/>
  <c r="B181" i="2"/>
  <c r="A181" i="2"/>
  <c r="G180" i="2"/>
  <c r="E180" i="3" s="1"/>
  <c r="F180" i="2"/>
  <c r="E180" i="2"/>
  <c r="D180" i="2"/>
  <c r="C180" i="2"/>
  <c r="B180" i="2"/>
  <c r="A180" i="2"/>
  <c r="G179" i="2"/>
  <c r="F179" i="2"/>
  <c r="E179" i="2"/>
  <c r="D179" i="2"/>
  <c r="C179" i="2"/>
  <c r="B179" i="2"/>
  <c r="A179" i="2"/>
  <c r="G178" i="2"/>
  <c r="F178" i="2"/>
  <c r="E178" i="2"/>
  <c r="D178" i="2"/>
  <c r="C178" i="2"/>
  <c r="B178" i="2"/>
  <c r="A178" i="2"/>
  <c r="G177" i="2"/>
  <c r="E177" i="3" s="1"/>
  <c r="F177" i="2"/>
  <c r="E177" i="2"/>
  <c r="D177" i="2"/>
  <c r="C177" i="2"/>
  <c r="B177" i="2"/>
  <c r="A177" i="2"/>
  <c r="G176" i="2"/>
  <c r="F176" i="3" s="1"/>
  <c r="F176" i="2"/>
  <c r="E176" i="2"/>
  <c r="D176" i="2"/>
  <c r="C176" i="2"/>
  <c r="B176" i="2"/>
  <c r="A176" i="2"/>
  <c r="G175" i="2"/>
  <c r="E175" i="3" s="1"/>
  <c r="F175" i="2"/>
  <c r="E175" i="2"/>
  <c r="D175" i="2"/>
  <c r="C175" i="2"/>
  <c r="B175" i="2"/>
  <c r="A175" i="2"/>
  <c r="G174" i="2"/>
  <c r="F174" i="2"/>
  <c r="E174" i="2"/>
  <c r="D174" i="2"/>
  <c r="C174" i="2"/>
  <c r="B174" i="2"/>
  <c r="A174" i="2"/>
  <c r="G173" i="2"/>
  <c r="F173" i="2"/>
  <c r="E173" i="2"/>
  <c r="D173" i="2"/>
  <c r="C173" i="2"/>
  <c r="B173" i="2"/>
  <c r="A173" i="2"/>
  <c r="G172" i="2"/>
  <c r="F172" i="2"/>
  <c r="E172" i="2"/>
  <c r="D172" i="2"/>
  <c r="C172" i="2"/>
  <c r="B172" i="2"/>
  <c r="A172" i="2"/>
  <c r="G171" i="2"/>
  <c r="F171" i="2"/>
  <c r="E171" i="2"/>
  <c r="D171" i="2"/>
  <c r="C171" i="2"/>
  <c r="B171" i="2"/>
  <c r="A171" i="2"/>
  <c r="G170" i="2"/>
  <c r="F170" i="2"/>
  <c r="E170" i="2"/>
  <c r="D170" i="2"/>
  <c r="C170" i="2"/>
  <c r="B170" i="2"/>
  <c r="A170" i="2"/>
  <c r="G169" i="2"/>
  <c r="E169" i="3" s="1"/>
  <c r="F169" i="2"/>
  <c r="E169" i="2"/>
  <c r="D169" i="2"/>
  <c r="C169" i="2"/>
  <c r="B169" i="2"/>
  <c r="A169" i="2"/>
  <c r="G168" i="2"/>
  <c r="F168" i="2"/>
  <c r="E168" i="2"/>
  <c r="D168" i="2"/>
  <c r="C168" i="2"/>
  <c r="B168" i="2"/>
  <c r="A168" i="2"/>
  <c r="G167" i="2"/>
  <c r="F167" i="2"/>
  <c r="E167" i="2"/>
  <c r="D167" i="2"/>
  <c r="C167" i="2"/>
  <c r="B167" i="2"/>
  <c r="A167" i="2"/>
  <c r="G166" i="2"/>
  <c r="F166" i="2"/>
  <c r="E166" i="2"/>
  <c r="D166" i="2"/>
  <c r="C166" i="2"/>
  <c r="B166" i="2"/>
  <c r="A166" i="2"/>
  <c r="G165" i="2"/>
  <c r="F165" i="2"/>
  <c r="E165" i="2"/>
  <c r="D165" i="2"/>
  <c r="C165" i="2"/>
  <c r="B165" i="2"/>
  <c r="A165" i="2"/>
  <c r="G164" i="2"/>
  <c r="F164" i="2"/>
  <c r="E164" i="2"/>
  <c r="D164" i="2"/>
  <c r="C164" i="2"/>
  <c r="B164" i="2"/>
  <c r="A164" i="2"/>
  <c r="G163" i="2"/>
  <c r="E163" i="3" s="1"/>
  <c r="F163" i="2"/>
  <c r="E163" i="2"/>
  <c r="D163" i="2"/>
  <c r="C163" i="2"/>
  <c r="B163" i="2"/>
  <c r="A163" i="2"/>
  <c r="G162" i="2"/>
  <c r="E162" i="3" s="1"/>
  <c r="F162" i="2"/>
  <c r="E162" i="2"/>
  <c r="D162" i="2"/>
  <c r="C162" i="2"/>
  <c r="B162" i="2"/>
  <c r="A162" i="2"/>
  <c r="G161" i="2"/>
  <c r="E161" i="3" s="1"/>
  <c r="F161" i="2"/>
  <c r="E161" i="2"/>
  <c r="D161" i="2"/>
  <c r="C161" i="2"/>
  <c r="B161" i="2"/>
  <c r="A161" i="2"/>
  <c r="G160" i="2"/>
  <c r="F160" i="2"/>
  <c r="E160" i="2"/>
  <c r="D160" i="2"/>
  <c r="C160" i="2"/>
  <c r="B160" i="2"/>
  <c r="A160" i="2"/>
  <c r="G159" i="2"/>
  <c r="E159" i="3" s="1"/>
  <c r="F159" i="2"/>
  <c r="E159" i="2"/>
  <c r="D159" i="2"/>
  <c r="C159" i="2"/>
  <c r="B159" i="2"/>
  <c r="A159" i="2"/>
  <c r="G158" i="2"/>
  <c r="F158" i="2"/>
  <c r="E158" i="2"/>
  <c r="D158" i="2"/>
  <c r="C158" i="2"/>
  <c r="B158" i="2"/>
  <c r="A158" i="2"/>
  <c r="G157" i="2"/>
  <c r="E157" i="3" s="1"/>
  <c r="F157" i="2"/>
  <c r="E157" i="2"/>
  <c r="D157" i="2"/>
  <c r="C157" i="2"/>
  <c r="B157" i="2"/>
  <c r="A157" i="2"/>
  <c r="G156" i="2"/>
  <c r="F156" i="2"/>
  <c r="E156" i="2"/>
  <c r="D156" i="2"/>
  <c r="C156" i="2"/>
  <c r="B156" i="2"/>
  <c r="A156" i="2"/>
  <c r="G155" i="2"/>
  <c r="F155" i="2"/>
  <c r="E155" i="2"/>
  <c r="D155" i="2"/>
  <c r="C155" i="2"/>
  <c r="B155" i="2"/>
  <c r="A155" i="2"/>
  <c r="G154" i="2"/>
  <c r="F154" i="2"/>
  <c r="E154" i="2"/>
  <c r="D154" i="2"/>
  <c r="C154" i="2"/>
  <c r="B154" i="2"/>
  <c r="A154" i="2"/>
  <c r="G153" i="2"/>
  <c r="E153" i="3" s="1"/>
  <c r="F153" i="2"/>
  <c r="E153" i="2"/>
  <c r="D153" i="2"/>
  <c r="C153" i="2"/>
  <c r="B153" i="2"/>
  <c r="A153" i="2"/>
  <c r="G152" i="2"/>
  <c r="F152" i="3" s="1"/>
  <c r="F152" i="2"/>
  <c r="E152" i="2"/>
  <c r="D152" i="2"/>
  <c r="C152" i="2"/>
  <c r="B152" i="2"/>
  <c r="A152" i="2"/>
  <c r="G151" i="2"/>
  <c r="E151" i="3" s="1"/>
  <c r="F151" i="2"/>
  <c r="E151" i="2"/>
  <c r="D151" i="2"/>
  <c r="C151" i="2"/>
  <c r="B151" i="2"/>
  <c r="A151" i="2"/>
  <c r="G150" i="2"/>
  <c r="F150" i="2"/>
  <c r="E150" i="2"/>
  <c r="D150" i="2"/>
  <c r="C150" i="2"/>
  <c r="B150" i="2"/>
  <c r="A150" i="2"/>
  <c r="G149" i="2"/>
  <c r="F149" i="2"/>
  <c r="E149" i="2"/>
  <c r="D149" i="2"/>
  <c r="C149" i="2"/>
  <c r="B149" i="2"/>
  <c r="A149" i="2"/>
  <c r="G148" i="2"/>
  <c r="F148" i="2"/>
  <c r="E148" i="2"/>
  <c r="D148" i="2"/>
  <c r="C148" i="2"/>
  <c r="B148" i="2"/>
  <c r="A148" i="2"/>
  <c r="G147" i="2"/>
  <c r="F147" i="2"/>
  <c r="E147" i="2"/>
  <c r="D147" i="2"/>
  <c r="C147" i="2"/>
  <c r="B147" i="2"/>
  <c r="A147" i="2"/>
  <c r="G146" i="2"/>
  <c r="F146" i="2"/>
  <c r="E146" i="2"/>
  <c r="D146" i="2"/>
  <c r="C146" i="2"/>
  <c r="B146" i="2"/>
  <c r="A146" i="2"/>
  <c r="G145" i="2"/>
  <c r="E145" i="3" s="1"/>
  <c r="F145" i="2"/>
  <c r="E145" i="2"/>
  <c r="D145" i="2"/>
  <c r="C145" i="2"/>
  <c r="B145" i="2"/>
  <c r="A145" i="2"/>
  <c r="G144" i="2"/>
  <c r="E144" i="3" s="1"/>
  <c r="F144" i="2"/>
  <c r="E144" i="2"/>
  <c r="D144" i="2"/>
  <c r="C144" i="2"/>
  <c r="B144" i="2"/>
  <c r="A144" i="2"/>
  <c r="G143" i="2"/>
  <c r="F143" i="2"/>
  <c r="E143" i="2"/>
  <c r="D143" i="2"/>
  <c r="C143" i="2"/>
  <c r="B143" i="2"/>
  <c r="A143" i="2"/>
  <c r="G142" i="2"/>
  <c r="E142" i="3" s="1"/>
  <c r="F142" i="2"/>
  <c r="E142" i="2"/>
  <c r="D142" i="2"/>
  <c r="C142" i="2"/>
  <c r="B142" i="2"/>
  <c r="A142" i="2"/>
  <c r="G141" i="2"/>
  <c r="F141" i="2"/>
  <c r="E141" i="2"/>
  <c r="D141" i="2"/>
  <c r="C141" i="2"/>
  <c r="B141" i="2"/>
  <c r="A141" i="2"/>
  <c r="G140" i="2"/>
  <c r="E140" i="3" s="1"/>
  <c r="F140" i="2"/>
  <c r="E140" i="2"/>
  <c r="D140" i="2"/>
  <c r="C140" i="2"/>
  <c r="B140" i="2"/>
  <c r="A140" i="2"/>
  <c r="G139" i="2"/>
  <c r="E139" i="3" s="1"/>
  <c r="F139" i="2"/>
  <c r="E139" i="2"/>
  <c r="D139" i="2"/>
  <c r="C139" i="2"/>
  <c r="B139" i="2"/>
  <c r="A139" i="2"/>
  <c r="G138" i="2"/>
  <c r="E138" i="3" s="1"/>
  <c r="F138" i="2"/>
  <c r="E138" i="2"/>
  <c r="D138" i="2"/>
  <c r="C138" i="2"/>
  <c r="B138" i="2"/>
  <c r="A138" i="2"/>
  <c r="G137" i="2"/>
  <c r="E137" i="3" s="1"/>
  <c r="F137" i="2"/>
  <c r="E137" i="2"/>
  <c r="D137" i="2"/>
  <c r="C137" i="2"/>
  <c r="B137" i="2"/>
  <c r="A137" i="2"/>
  <c r="G136" i="2"/>
  <c r="F136" i="2"/>
  <c r="E136" i="2"/>
  <c r="D136" i="2"/>
  <c r="C136" i="2"/>
  <c r="B136" i="2"/>
  <c r="A136" i="2"/>
  <c r="G135" i="2"/>
  <c r="E135" i="3" s="1"/>
  <c r="F135" i="2"/>
  <c r="E135" i="2"/>
  <c r="D135" i="2"/>
  <c r="C135" i="2"/>
  <c r="B135" i="2"/>
  <c r="A135" i="2"/>
  <c r="G134" i="2"/>
  <c r="F134" i="2"/>
  <c r="E134" i="2"/>
  <c r="D134" i="2"/>
  <c r="C134" i="2"/>
  <c r="B134" i="2"/>
  <c r="A134" i="2"/>
  <c r="G133" i="2"/>
  <c r="F133" i="2"/>
  <c r="E133" i="2"/>
  <c r="D133" i="2"/>
  <c r="C133" i="2"/>
  <c r="B133" i="2"/>
  <c r="A133" i="2"/>
  <c r="G132" i="2"/>
  <c r="E132" i="3" s="1"/>
  <c r="F132" i="2"/>
  <c r="E132" i="2"/>
  <c r="D132" i="2"/>
  <c r="C132" i="2"/>
  <c r="B132" i="2"/>
  <c r="A132" i="2"/>
  <c r="G131" i="2"/>
  <c r="F131" i="2"/>
  <c r="E131" i="2"/>
  <c r="D131" i="2"/>
  <c r="C131" i="2"/>
  <c r="B131" i="2"/>
  <c r="A131" i="2"/>
  <c r="G130" i="2"/>
  <c r="E130" i="3" s="1"/>
  <c r="F130" i="2"/>
  <c r="E130" i="2"/>
  <c r="D130" i="2"/>
  <c r="C130" i="2"/>
  <c r="B130" i="2"/>
  <c r="A130" i="2"/>
  <c r="G129" i="2"/>
  <c r="E129" i="3" s="1"/>
  <c r="F129" i="2"/>
  <c r="E129" i="2"/>
  <c r="D129" i="2"/>
  <c r="C129" i="2"/>
  <c r="B129" i="2"/>
  <c r="A129" i="2"/>
  <c r="G128" i="2"/>
  <c r="F128" i="2"/>
  <c r="E128" i="2"/>
  <c r="D128" i="2"/>
  <c r="C128" i="2"/>
  <c r="B128" i="2"/>
  <c r="A128" i="2"/>
  <c r="G127" i="2"/>
  <c r="E127" i="3" s="1"/>
  <c r="F127" i="2"/>
  <c r="E127" i="2"/>
  <c r="D127" i="2"/>
  <c r="C127" i="2"/>
  <c r="B127" i="2"/>
  <c r="A127" i="2"/>
  <c r="G126" i="2"/>
  <c r="F126" i="2"/>
  <c r="E126" i="2"/>
  <c r="D126" i="2"/>
  <c r="C126" i="2"/>
  <c r="B126" i="2"/>
  <c r="A126" i="2"/>
  <c r="G125" i="2"/>
  <c r="F125" i="2"/>
  <c r="E125" i="2"/>
  <c r="D125" i="2"/>
  <c r="C125" i="2"/>
  <c r="B125" i="2"/>
  <c r="A125" i="2"/>
  <c r="G124" i="2"/>
  <c r="F124" i="2"/>
  <c r="E124" i="2"/>
  <c r="D124" i="2"/>
  <c r="C124" i="2"/>
  <c r="B124" i="2"/>
  <c r="A124" i="2"/>
  <c r="G123" i="2"/>
  <c r="E123" i="3" s="1"/>
  <c r="F123" i="2"/>
  <c r="E123" i="2"/>
  <c r="D123" i="2"/>
  <c r="C123" i="2"/>
  <c r="B123" i="2"/>
  <c r="A123" i="2"/>
  <c r="G122" i="2"/>
  <c r="E122" i="3" s="1"/>
  <c r="F122" i="2"/>
  <c r="E122" i="2"/>
  <c r="D122" i="2"/>
  <c r="C122" i="2"/>
  <c r="B122" i="2"/>
  <c r="A122" i="2"/>
  <c r="G121" i="2"/>
  <c r="F121" i="2"/>
  <c r="E121" i="2"/>
  <c r="D121" i="2"/>
  <c r="C121" i="2"/>
  <c r="B121" i="2"/>
  <c r="A121" i="2"/>
  <c r="G120" i="2"/>
  <c r="E120" i="3" s="1"/>
  <c r="F120" i="2"/>
  <c r="E120" i="2"/>
  <c r="D120" i="2"/>
  <c r="C120" i="2"/>
  <c r="B120" i="2"/>
  <c r="A120" i="2"/>
  <c r="G119" i="2"/>
  <c r="F119" i="2"/>
  <c r="E119" i="2"/>
  <c r="D119" i="2"/>
  <c r="C119" i="2"/>
  <c r="B119" i="2"/>
  <c r="A119" i="2"/>
  <c r="G118" i="2"/>
  <c r="E118" i="3" s="1"/>
  <c r="F118" i="2"/>
  <c r="E118" i="2"/>
  <c r="D118" i="2"/>
  <c r="C118" i="2"/>
  <c r="B118" i="2"/>
  <c r="A118" i="2"/>
  <c r="G117" i="2"/>
  <c r="E117" i="3" s="1"/>
  <c r="F117" i="2"/>
  <c r="E117" i="2"/>
  <c r="D117" i="2"/>
  <c r="C117" i="2"/>
  <c r="B117" i="2"/>
  <c r="A117" i="2"/>
  <c r="G116" i="2"/>
  <c r="E116" i="3" s="1"/>
  <c r="F116" i="2"/>
  <c r="E116" i="2"/>
  <c r="D116" i="2"/>
  <c r="C116" i="2"/>
  <c r="B116" i="2"/>
  <c r="A116" i="2"/>
  <c r="G115" i="2"/>
  <c r="E115" i="3" s="1"/>
  <c r="F115" i="2"/>
  <c r="E115" i="2"/>
  <c r="D115" i="2"/>
  <c r="C115" i="2"/>
  <c r="B115" i="2"/>
  <c r="A115" i="2"/>
  <c r="G114" i="2"/>
  <c r="E114" i="3" s="1"/>
  <c r="F114" i="2"/>
  <c r="E114" i="2"/>
  <c r="D114" i="2"/>
  <c r="C114" i="2"/>
  <c r="B114" i="2"/>
  <c r="A114" i="2"/>
  <c r="G113" i="2"/>
  <c r="E113" i="3" s="1"/>
  <c r="F113" i="2"/>
  <c r="E113" i="2"/>
  <c r="D113" i="2"/>
  <c r="C113" i="2"/>
  <c r="B113" i="2"/>
  <c r="A113" i="2"/>
  <c r="G112" i="2"/>
  <c r="F112" i="2"/>
  <c r="E112" i="2"/>
  <c r="D112" i="2"/>
  <c r="C112" i="2"/>
  <c r="B112" i="2"/>
  <c r="A112" i="2"/>
  <c r="G111" i="2"/>
  <c r="F111" i="3" s="1"/>
  <c r="F111" i="2"/>
  <c r="E111" i="2"/>
  <c r="D111" i="2"/>
  <c r="C111" i="2"/>
  <c r="B111" i="2"/>
  <c r="A111" i="2"/>
  <c r="G110" i="2"/>
  <c r="E110" i="3" s="1"/>
  <c r="F110" i="2"/>
  <c r="E110" i="2"/>
  <c r="D110" i="2"/>
  <c r="C110" i="2"/>
  <c r="B110" i="2"/>
  <c r="A110" i="2"/>
  <c r="G109" i="2"/>
  <c r="F109" i="2"/>
  <c r="E109" i="2"/>
  <c r="D109" i="2"/>
  <c r="C109" i="2"/>
  <c r="B109" i="2"/>
  <c r="A109" i="2"/>
  <c r="G108" i="2"/>
  <c r="E108" i="3" s="1"/>
  <c r="F108" i="2"/>
  <c r="E108" i="2"/>
  <c r="D108" i="2"/>
  <c r="C108" i="2"/>
  <c r="B108" i="2"/>
  <c r="A108" i="2"/>
  <c r="G107" i="2"/>
  <c r="F107" i="2"/>
  <c r="E107" i="2"/>
  <c r="D107" i="2"/>
  <c r="C107" i="2"/>
  <c r="B107" i="2"/>
  <c r="A107" i="2"/>
  <c r="G106" i="2"/>
  <c r="E106" i="3" s="1"/>
  <c r="F106" i="2"/>
  <c r="E106" i="2"/>
  <c r="D106" i="2"/>
  <c r="C106" i="2"/>
  <c r="B106" i="2"/>
  <c r="A106" i="2"/>
  <c r="G105" i="2"/>
  <c r="E105" i="3" s="1"/>
  <c r="F105" i="2"/>
  <c r="E105" i="2"/>
  <c r="D105" i="2"/>
  <c r="C105" i="2"/>
  <c r="B105" i="2"/>
  <c r="A105" i="2"/>
  <c r="G104" i="2"/>
  <c r="F104" i="2"/>
  <c r="E104" i="2"/>
  <c r="D104" i="2"/>
  <c r="C104" i="2"/>
  <c r="B104" i="2"/>
  <c r="A104" i="2"/>
  <c r="G103" i="2"/>
  <c r="E103" i="3" s="1"/>
  <c r="F103" i="2"/>
  <c r="E103" i="2"/>
  <c r="D103" i="2"/>
  <c r="C103" i="2"/>
  <c r="B103" i="2"/>
  <c r="A103" i="2"/>
  <c r="G102" i="2"/>
  <c r="F102" i="2"/>
  <c r="E102" i="2"/>
  <c r="D102" i="2"/>
  <c r="C102" i="2"/>
  <c r="B102" i="2"/>
  <c r="A102" i="2"/>
  <c r="G101" i="2"/>
  <c r="F101" i="3" s="1"/>
  <c r="F101" i="2"/>
  <c r="E101" i="2"/>
  <c r="D101" i="2"/>
  <c r="C101" i="2"/>
  <c r="B101" i="2"/>
  <c r="A101" i="2"/>
  <c r="G100" i="2"/>
  <c r="F100" i="2"/>
  <c r="E100" i="2"/>
  <c r="D100" i="2"/>
  <c r="C100" i="2"/>
  <c r="B100" i="2"/>
  <c r="A100" i="2"/>
  <c r="G99" i="2"/>
  <c r="F99" i="3" s="1"/>
  <c r="F99" i="2"/>
  <c r="E99" i="2"/>
  <c r="D99" i="2"/>
  <c r="C99" i="2"/>
  <c r="B99" i="2"/>
  <c r="A99" i="2"/>
  <c r="G98" i="2"/>
  <c r="E98" i="3" s="1"/>
  <c r="F98" i="2"/>
  <c r="E98" i="2"/>
  <c r="D98" i="2"/>
  <c r="C98" i="2"/>
  <c r="B98" i="2"/>
  <c r="A98" i="2"/>
  <c r="G97" i="2"/>
  <c r="F97" i="2"/>
  <c r="E97" i="2"/>
  <c r="D97" i="2"/>
  <c r="C97" i="2"/>
  <c r="B97" i="2"/>
  <c r="A97" i="2"/>
  <c r="G96" i="2"/>
  <c r="E96" i="3" s="1"/>
  <c r="F96" i="2"/>
  <c r="E96" i="2"/>
  <c r="D96" i="2"/>
  <c r="C96" i="2"/>
  <c r="B96" i="2"/>
  <c r="A96" i="2"/>
  <c r="G95" i="2"/>
  <c r="F95" i="2"/>
  <c r="E95" i="2"/>
  <c r="D95" i="2"/>
  <c r="C95" i="2"/>
  <c r="B95" i="2"/>
  <c r="A95" i="2"/>
  <c r="G94" i="2"/>
  <c r="E94" i="3" s="1"/>
  <c r="F94" i="2"/>
  <c r="E94" i="2"/>
  <c r="D94" i="2"/>
  <c r="C94" i="2"/>
  <c r="B94" i="2"/>
  <c r="A94" i="2"/>
  <c r="G93" i="2"/>
  <c r="E93" i="3" s="1"/>
  <c r="F93" i="2"/>
  <c r="E93" i="2"/>
  <c r="D93" i="2"/>
  <c r="C93" i="2"/>
  <c r="B93" i="2"/>
  <c r="A93" i="2"/>
  <c r="G92" i="2"/>
  <c r="E92" i="3" s="1"/>
  <c r="F92" i="2"/>
  <c r="E92" i="2"/>
  <c r="D92" i="2"/>
  <c r="C92" i="2"/>
  <c r="B92" i="2"/>
  <c r="A92" i="2"/>
  <c r="G91" i="2"/>
  <c r="E91" i="3" s="1"/>
  <c r="F91" i="2"/>
  <c r="E91" i="2"/>
  <c r="D91" i="2"/>
  <c r="C91" i="2"/>
  <c r="B91" i="2"/>
  <c r="A91" i="2"/>
  <c r="G90" i="2"/>
  <c r="E90" i="3" s="1"/>
  <c r="F90" i="2"/>
  <c r="E90" i="2"/>
  <c r="D90" i="2"/>
  <c r="C90" i="2"/>
  <c r="B90" i="2"/>
  <c r="A90" i="2"/>
  <c r="G89" i="2"/>
  <c r="F89" i="3" s="1"/>
  <c r="F89" i="2"/>
  <c r="E89" i="2"/>
  <c r="D89" i="2"/>
  <c r="C89" i="2"/>
  <c r="B89" i="2"/>
  <c r="A89" i="2"/>
  <c r="G88" i="2"/>
  <c r="F88" i="2"/>
  <c r="E88" i="2"/>
  <c r="D88" i="2"/>
  <c r="C88" i="2"/>
  <c r="B88" i="2"/>
  <c r="A88" i="2"/>
  <c r="G87" i="2"/>
  <c r="E87" i="3" s="1"/>
  <c r="F87" i="2"/>
  <c r="E87" i="2"/>
  <c r="D87" i="2"/>
  <c r="C87" i="2"/>
  <c r="B87" i="2"/>
  <c r="A87" i="2"/>
  <c r="G86" i="2"/>
  <c r="E86" i="3" s="1"/>
  <c r="F86" i="2"/>
  <c r="E86" i="2"/>
  <c r="D86" i="2"/>
  <c r="C86" i="2"/>
  <c r="B86" i="2"/>
  <c r="A86" i="2"/>
  <c r="G85" i="2"/>
  <c r="F85" i="2"/>
  <c r="E85" i="2"/>
  <c r="D85" i="2"/>
  <c r="C85" i="2"/>
  <c r="B85" i="2"/>
  <c r="A85" i="2"/>
  <c r="G84" i="2"/>
  <c r="E84" i="3" s="1"/>
  <c r="F84" i="2"/>
  <c r="E84" i="2"/>
  <c r="D84" i="2"/>
  <c r="C84" i="2"/>
  <c r="B84" i="2"/>
  <c r="A84" i="2"/>
  <c r="G83" i="2"/>
  <c r="F83" i="2"/>
  <c r="E83" i="2"/>
  <c r="D83" i="2"/>
  <c r="C83" i="2"/>
  <c r="B83" i="2"/>
  <c r="A83" i="2"/>
  <c r="G82" i="2"/>
  <c r="E82" i="3" s="1"/>
  <c r="F82" i="2"/>
  <c r="E82" i="2"/>
  <c r="D82" i="2"/>
  <c r="C82" i="2"/>
  <c r="B82" i="2"/>
  <c r="A82" i="2"/>
  <c r="G81" i="2"/>
  <c r="E81" i="3" s="1"/>
  <c r="F81" i="2"/>
  <c r="E81" i="2"/>
  <c r="D81" i="2"/>
  <c r="C81" i="2"/>
  <c r="B81" i="2"/>
  <c r="A81" i="2"/>
  <c r="G80" i="2"/>
  <c r="F80" i="2"/>
  <c r="E80" i="2"/>
  <c r="D80" i="2"/>
  <c r="C80" i="2"/>
  <c r="B80" i="2"/>
  <c r="A80" i="2"/>
  <c r="G79" i="2"/>
  <c r="E79" i="3" s="1"/>
  <c r="F79" i="2"/>
  <c r="E79" i="2"/>
  <c r="D79" i="2"/>
  <c r="C79" i="2"/>
  <c r="B79" i="2"/>
  <c r="A79" i="2"/>
  <c r="G78" i="2"/>
  <c r="F78" i="2"/>
  <c r="E78" i="2"/>
  <c r="D78" i="2"/>
  <c r="C78" i="2"/>
  <c r="B78" i="2"/>
  <c r="A78" i="2"/>
  <c r="G77" i="2"/>
  <c r="E77" i="3" s="1"/>
  <c r="F77" i="2"/>
  <c r="E77" i="2"/>
  <c r="D77" i="2"/>
  <c r="C77" i="2"/>
  <c r="B77" i="2"/>
  <c r="A77" i="2"/>
  <c r="G76" i="2"/>
  <c r="F76" i="2"/>
  <c r="E76" i="2"/>
  <c r="D76" i="2"/>
  <c r="C76" i="2"/>
  <c r="B76" i="2"/>
  <c r="A76" i="2"/>
  <c r="G75" i="2"/>
  <c r="E75" i="3" s="1"/>
  <c r="F75" i="2"/>
  <c r="E75" i="2"/>
  <c r="D75" i="2"/>
  <c r="C75" i="2"/>
  <c r="B75" i="2"/>
  <c r="A75" i="2"/>
  <c r="G74" i="2"/>
  <c r="E74" i="3" s="1"/>
  <c r="F74" i="2"/>
  <c r="E74" i="2"/>
  <c r="D74" i="2"/>
  <c r="C74" i="2"/>
  <c r="B74" i="2"/>
  <c r="A74" i="2"/>
  <c r="G73" i="2"/>
  <c r="E73" i="3" s="1"/>
  <c r="F73" i="2"/>
  <c r="E73" i="2"/>
  <c r="D73" i="2"/>
  <c r="C73" i="2"/>
  <c r="B73" i="2"/>
  <c r="A73" i="2"/>
  <c r="G72" i="2"/>
  <c r="E72" i="3" s="1"/>
  <c r="F72" i="2"/>
  <c r="E72" i="2"/>
  <c r="D72" i="2"/>
  <c r="C72" i="2"/>
  <c r="B72" i="2"/>
  <c r="A72" i="2"/>
  <c r="G71" i="2"/>
  <c r="F71" i="2"/>
  <c r="E71" i="2"/>
  <c r="D71" i="2"/>
  <c r="C71" i="2"/>
  <c r="B71" i="2"/>
  <c r="A71" i="2"/>
  <c r="G70" i="2"/>
  <c r="E70" i="3" s="1"/>
  <c r="F70" i="2"/>
  <c r="E70" i="2"/>
  <c r="D70" i="2"/>
  <c r="C70" i="2"/>
  <c r="B70" i="2"/>
  <c r="A70" i="2"/>
  <c r="G69" i="2"/>
  <c r="E69" i="3" s="1"/>
  <c r="F69" i="2"/>
  <c r="E69" i="2"/>
  <c r="D69" i="2"/>
  <c r="C69" i="2"/>
  <c r="B69" i="2"/>
  <c r="A69" i="2"/>
  <c r="G68" i="2"/>
  <c r="F68" i="2"/>
  <c r="E68" i="2"/>
  <c r="D68" i="2"/>
  <c r="C68" i="2"/>
  <c r="B68" i="2"/>
  <c r="A68" i="2"/>
  <c r="G67" i="2"/>
  <c r="E67" i="3" s="1"/>
  <c r="F67" i="2"/>
  <c r="E67" i="2"/>
  <c r="D67" i="2"/>
  <c r="C67" i="2"/>
  <c r="B67" i="2"/>
  <c r="A67" i="2"/>
  <c r="G66" i="2"/>
  <c r="F66" i="2"/>
  <c r="E66" i="2"/>
  <c r="D66" i="2"/>
  <c r="C66" i="2"/>
  <c r="B66" i="2"/>
  <c r="A66" i="2"/>
  <c r="G65" i="2"/>
  <c r="E65" i="3" s="1"/>
  <c r="F65" i="2"/>
  <c r="E65" i="2"/>
  <c r="D65" i="2"/>
  <c r="C65" i="2"/>
  <c r="B65" i="2"/>
  <c r="A65" i="2"/>
  <c r="G64" i="2"/>
  <c r="F64" i="2"/>
  <c r="E64" i="2"/>
  <c r="D64" i="2"/>
  <c r="C64" i="2"/>
  <c r="B64" i="2"/>
  <c r="A64" i="2"/>
  <c r="G63" i="2"/>
  <c r="E63" i="3" s="1"/>
  <c r="F63" i="2"/>
  <c r="E63" i="2"/>
  <c r="D63" i="2"/>
  <c r="C63" i="2"/>
  <c r="B63" i="2"/>
  <c r="A63" i="2"/>
  <c r="G62" i="2"/>
  <c r="E62" i="3" s="1"/>
  <c r="F62" i="2"/>
  <c r="E62" i="2"/>
  <c r="D62" i="2"/>
  <c r="C62" i="2"/>
  <c r="B62" i="2"/>
  <c r="A62" i="2"/>
  <c r="G61" i="2"/>
  <c r="E61" i="3" s="1"/>
  <c r="F61" i="2"/>
  <c r="E61" i="2"/>
  <c r="D61" i="2"/>
  <c r="C61" i="2"/>
  <c r="B61" i="2"/>
  <c r="A61" i="2"/>
  <c r="G60" i="2"/>
  <c r="E60" i="3" s="1"/>
  <c r="F60" i="2"/>
  <c r="E60" i="2"/>
  <c r="D60" i="2"/>
  <c r="C60" i="2"/>
  <c r="B60" i="2"/>
  <c r="A60" i="2"/>
  <c r="G59" i="2"/>
  <c r="F59" i="2"/>
  <c r="E59" i="2"/>
  <c r="D59" i="2"/>
  <c r="C59" i="2"/>
  <c r="B59" i="2"/>
  <c r="A59" i="2"/>
  <c r="G58" i="2"/>
  <c r="E58" i="3" s="1"/>
  <c r="F58" i="2"/>
  <c r="E58" i="2"/>
  <c r="D58" i="2"/>
  <c r="C58" i="2"/>
  <c r="B58" i="2"/>
  <c r="A58" i="2"/>
  <c r="G57" i="2"/>
  <c r="E57" i="3" s="1"/>
  <c r="F57" i="2"/>
  <c r="E57" i="2"/>
  <c r="D57" i="2"/>
  <c r="C57" i="2"/>
  <c r="B57" i="2"/>
  <c r="A57" i="2"/>
  <c r="G56" i="2"/>
  <c r="F56" i="2"/>
  <c r="E56" i="2"/>
  <c r="D56" i="2"/>
  <c r="C56" i="2"/>
  <c r="B56" i="2"/>
  <c r="A56" i="2"/>
  <c r="G55" i="2"/>
  <c r="E55" i="3" s="1"/>
  <c r="F55" i="2"/>
  <c r="E55" i="2"/>
  <c r="D55" i="2"/>
  <c r="C55" i="2"/>
  <c r="B55" i="2"/>
  <c r="A55" i="2"/>
  <c r="G54" i="2"/>
  <c r="F54" i="2"/>
  <c r="E54" i="2"/>
  <c r="D54" i="2"/>
  <c r="C54" i="2"/>
  <c r="B54" i="2"/>
  <c r="A54" i="2"/>
  <c r="G53" i="2"/>
  <c r="E53" i="3" s="1"/>
  <c r="F53" i="2"/>
  <c r="E53" i="2"/>
  <c r="D53" i="2"/>
  <c r="C53" i="2"/>
  <c r="B53" i="2"/>
  <c r="A53" i="2"/>
  <c r="G52" i="2"/>
  <c r="F52" i="2"/>
  <c r="E52" i="2"/>
  <c r="D52" i="2"/>
  <c r="C52" i="2"/>
  <c r="B52" i="2"/>
  <c r="A52" i="2"/>
  <c r="G51" i="2"/>
  <c r="E51" i="3" s="1"/>
  <c r="F51" i="2"/>
  <c r="E51" i="2"/>
  <c r="D51" i="2"/>
  <c r="C51" i="2"/>
  <c r="B51" i="2"/>
  <c r="A51" i="2"/>
  <c r="G50" i="2"/>
  <c r="E50" i="3" s="1"/>
  <c r="F50" i="2"/>
  <c r="E50" i="2"/>
  <c r="D50" i="2"/>
  <c r="C50" i="2"/>
  <c r="B50" i="2"/>
  <c r="A50" i="2"/>
  <c r="G49" i="2"/>
  <c r="E49" i="3" s="1"/>
  <c r="F49" i="2"/>
  <c r="E49" i="2"/>
  <c r="D49" i="2"/>
  <c r="C49" i="2"/>
  <c r="B49" i="2"/>
  <c r="A49" i="2"/>
  <c r="G48" i="2"/>
  <c r="E48" i="3" s="1"/>
  <c r="F48" i="2"/>
  <c r="E48" i="2"/>
  <c r="D48" i="2"/>
  <c r="C48" i="2"/>
  <c r="B48" i="2"/>
  <c r="A48" i="2"/>
  <c r="G47" i="2"/>
  <c r="F47" i="2"/>
  <c r="E47" i="2"/>
  <c r="D47" i="2"/>
  <c r="C47" i="2"/>
  <c r="B47" i="2"/>
  <c r="A47" i="2"/>
  <c r="G46" i="2"/>
  <c r="E46" i="3" s="1"/>
  <c r="F46" i="2"/>
  <c r="E46" i="2"/>
  <c r="D46" i="2"/>
  <c r="C46" i="2"/>
  <c r="B46" i="2"/>
  <c r="A46" i="2"/>
  <c r="G45" i="2"/>
  <c r="E45" i="3" s="1"/>
  <c r="F45" i="2"/>
  <c r="E45" i="2"/>
  <c r="D45" i="2"/>
  <c r="C45" i="2"/>
  <c r="B45" i="2"/>
  <c r="A45" i="2"/>
  <c r="G44" i="2"/>
  <c r="E44" i="3" s="1"/>
  <c r="F44" i="2"/>
  <c r="E44" i="2"/>
  <c r="D44" i="2"/>
  <c r="C44" i="2"/>
  <c r="B44" i="2"/>
  <c r="A44" i="2"/>
  <c r="G43" i="2"/>
  <c r="E43" i="3" s="1"/>
  <c r="F43" i="2"/>
  <c r="E43" i="2"/>
  <c r="D43" i="2"/>
  <c r="C43" i="2"/>
  <c r="B43" i="2"/>
  <c r="A43" i="2"/>
  <c r="G42" i="2"/>
  <c r="F42" i="2"/>
  <c r="E42" i="2"/>
  <c r="D42" i="2"/>
  <c r="C42" i="2"/>
  <c r="B42" i="2"/>
  <c r="A42" i="2"/>
  <c r="G41" i="2"/>
  <c r="E41" i="3" s="1"/>
  <c r="F41" i="2"/>
  <c r="E41" i="2"/>
  <c r="D41" i="2"/>
  <c r="C41" i="2"/>
  <c r="B41" i="2"/>
  <c r="A41" i="2"/>
  <c r="G40" i="2"/>
  <c r="F40" i="2"/>
  <c r="E40" i="2"/>
  <c r="D40" i="2"/>
  <c r="C40" i="2"/>
  <c r="B40" i="2"/>
  <c r="A40" i="2"/>
  <c r="G39" i="2"/>
  <c r="E39" i="3" s="1"/>
  <c r="F39" i="2"/>
  <c r="E39" i="2"/>
  <c r="D39" i="2"/>
  <c r="C39" i="2"/>
  <c r="B39" i="2"/>
  <c r="A39" i="2"/>
  <c r="G38" i="2"/>
  <c r="E38" i="3" s="1"/>
  <c r="F38" i="2"/>
  <c r="E38" i="2"/>
  <c r="D38" i="2"/>
  <c r="C38" i="2"/>
  <c r="B38" i="2"/>
  <c r="A38" i="2"/>
  <c r="G37" i="2"/>
  <c r="E37" i="3" s="1"/>
  <c r="F37" i="2"/>
  <c r="E37" i="2"/>
  <c r="D37" i="2"/>
  <c r="C37" i="2"/>
  <c r="B37" i="2"/>
  <c r="A37" i="2"/>
  <c r="G36" i="2"/>
  <c r="E36" i="3" s="1"/>
  <c r="F36" i="2"/>
  <c r="E36" i="2"/>
  <c r="D36" i="2"/>
  <c r="C36" i="2"/>
  <c r="B36" i="2"/>
  <c r="A36" i="2"/>
  <c r="G35" i="2"/>
  <c r="F35" i="2"/>
  <c r="E35" i="2"/>
  <c r="D35" i="2"/>
  <c r="C35" i="2"/>
  <c r="B35" i="2"/>
  <c r="A35" i="2"/>
  <c r="G34" i="2"/>
  <c r="E34" i="3" s="1"/>
  <c r="F34" i="2"/>
  <c r="E34" i="2"/>
  <c r="D34" i="2"/>
  <c r="C34" i="2"/>
  <c r="B34" i="2"/>
  <c r="A34" i="2"/>
  <c r="G33" i="2"/>
  <c r="E33" i="3" s="1"/>
  <c r="F33" i="2"/>
  <c r="E33" i="2"/>
  <c r="D33" i="2"/>
  <c r="C33" i="2"/>
  <c r="B33" i="2"/>
  <c r="A33" i="2"/>
  <c r="G32" i="2"/>
  <c r="F32" i="2"/>
  <c r="E32" i="2"/>
  <c r="D32" i="2"/>
  <c r="C32" i="2"/>
  <c r="B32" i="2"/>
  <c r="A32" i="2"/>
  <c r="G31" i="2"/>
  <c r="E31" i="3" s="1"/>
  <c r="F31" i="2"/>
  <c r="E31" i="2"/>
  <c r="D31" i="2"/>
  <c r="C31" i="2"/>
  <c r="B31" i="2"/>
  <c r="A31" i="2"/>
  <c r="G30" i="2"/>
  <c r="F30" i="2"/>
  <c r="E30" i="2"/>
  <c r="D30" i="2"/>
  <c r="C30" i="2"/>
  <c r="B30" i="2"/>
  <c r="A30" i="2"/>
  <c r="G29" i="2"/>
  <c r="E29" i="3" s="1"/>
  <c r="F29" i="2"/>
  <c r="E29" i="2"/>
  <c r="D29" i="2"/>
  <c r="C29" i="2"/>
  <c r="B29" i="2"/>
  <c r="A29" i="2"/>
  <c r="G28" i="2"/>
  <c r="F28" i="2"/>
  <c r="E28" i="2"/>
  <c r="D28" i="2"/>
  <c r="C28" i="2"/>
  <c r="B28" i="2"/>
  <c r="A28" i="2"/>
  <c r="G27" i="2"/>
  <c r="E27" i="3" s="1"/>
  <c r="F27" i="2"/>
  <c r="E27" i="2"/>
  <c r="D27" i="2"/>
  <c r="C27" i="2"/>
  <c r="B27" i="2"/>
  <c r="A27" i="2"/>
  <c r="G26" i="2"/>
  <c r="F26" i="2"/>
  <c r="E26" i="2"/>
  <c r="D26" i="2"/>
  <c r="C26" i="2"/>
  <c r="B26" i="2"/>
  <c r="A26" i="2"/>
  <c r="G25" i="2"/>
  <c r="E25" i="3" s="1"/>
  <c r="F25" i="2"/>
  <c r="E25" i="2"/>
  <c r="D25" i="2"/>
  <c r="C25" i="2"/>
  <c r="B25" i="2"/>
  <c r="A25" i="2"/>
  <c r="G24" i="2"/>
  <c r="E24" i="3" s="1"/>
  <c r="F24" i="2"/>
  <c r="E24" i="2"/>
  <c r="D24" i="2"/>
  <c r="C24" i="2"/>
  <c r="B24" i="2"/>
  <c r="A24" i="2"/>
  <c r="G23" i="2"/>
  <c r="F23" i="2"/>
  <c r="E23" i="2"/>
  <c r="D23" i="2"/>
  <c r="C23" i="2"/>
  <c r="B23" i="2"/>
  <c r="A23" i="2"/>
  <c r="G22" i="2"/>
  <c r="E22" i="3" s="1"/>
  <c r="F22" i="2"/>
  <c r="E22" i="2"/>
  <c r="D22" i="2"/>
  <c r="C22" i="2"/>
  <c r="B22" i="2"/>
  <c r="A22" i="2"/>
  <c r="G21" i="2"/>
  <c r="E21" i="3" s="1"/>
  <c r="F21" i="2"/>
  <c r="E21" i="2"/>
  <c r="D21" i="2"/>
  <c r="C21" i="2"/>
  <c r="B21" i="2"/>
  <c r="A21" i="2"/>
  <c r="G20" i="2"/>
  <c r="F20" i="2"/>
  <c r="E20" i="2"/>
  <c r="D20" i="2"/>
  <c r="C20" i="2"/>
  <c r="B20" i="2"/>
  <c r="A20" i="2"/>
  <c r="G19" i="2"/>
  <c r="E19" i="3" s="1"/>
  <c r="F19" i="2"/>
  <c r="E19" i="2"/>
  <c r="D19" i="2"/>
  <c r="C19" i="2"/>
  <c r="B19" i="2"/>
  <c r="A19" i="2"/>
  <c r="G18" i="2"/>
  <c r="F18" i="2"/>
  <c r="E18" i="2"/>
  <c r="D18" i="2"/>
  <c r="C18" i="2"/>
  <c r="B18" i="2"/>
  <c r="A18" i="2"/>
  <c r="G17" i="2"/>
  <c r="E17" i="3" s="1"/>
  <c r="F17" i="2"/>
  <c r="E17" i="2"/>
  <c r="D17" i="2"/>
  <c r="C17" i="2"/>
  <c r="B17" i="2"/>
  <c r="A17" i="2"/>
  <c r="G16" i="2"/>
  <c r="F16" i="2"/>
  <c r="E16" i="2"/>
  <c r="D16" i="2"/>
  <c r="C16" i="2"/>
  <c r="B16" i="2"/>
  <c r="A16" i="2"/>
  <c r="G15" i="2"/>
  <c r="E15" i="3" s="1"/>
  <c r="F15" i="2"/>
  <c r="E15" i="2"/>
  <c r="D15" i="2"/>
  <c r="C15" i="2"/>
  <c r="B15" i="2"/>
  <c r="A15" i="2"/>
  <c r="G14" i="2"/>
  <c r="F14" i="2"/>
  <c r="E14" i="2"/>
  <c r="D14" i="2"/>
  <c r="C14" i="2"/>
  <c r="B14" i="2"/>
  <c r="A14" i="2"/>
  <c r="G13" i="2"/>
  <c r="E13" i="3" s="1"/>
  <c r="F13" i="2"/>
  <c r="E13" i="2"/>
  <c r="D13" i="2"/>
  <c r="C13" i="2"/>
  <c r="B13" i="2"/>
  <c r="A13" i="2"/>
  <c r="G12" i="2"/>
  <c r="E12" i="3" s="1"/>
  <c r="F12" i="2"/>
  <c r="E12" i="2"/>
  <c r="D12" i="2"/>
  <c r="C12" i="2"/>
  <c r="B12" i="2"/>
  <c r="A12" i="2"/>
  <c r="G11" i="2"/>
  <c r="F11" i="2"/>
  <c r="E11" i="2"/>
  <c r="D11" i="2"/>
  <c r="C11" i="2"/>
  <c r="B11" i="2"/>
  <c r="A11" i="2"/>
  <c r="G10" i="2"/>
  <c r="E10" i="3" s="1"/>
  <c r="F10" i="2"/>
  <c r="E10" i="2"/>
  <c r="D10" i="2"/>
  <c r="C10" i="2"/>
  <c r="B10" i="2"/>
  <c r="A10" i="2"/>
  <c r="G9" i="2"/>
  <c r="E9" i="3" s="1"/>
  <c r="F9" i="2"/>
  <c r="E9" i="2"/>
  <c r="D9" i="2"/>
  <c r="C9" i="2"/>
  <c r="B9" i="2"/>
  <c r="A9" i="2"/>
  <c r="G8" i="2"/>
  <c r="F8" i="2"/>
  <c r="E8" i="2"/>
  <c r="D8" i="2"/>
  <c r="C8" i="2"/>
  <c r="B8" i="2"/>
  <c r="A8" i="2"/>
  <c r="G7" i="2"/>
  <c r="E7" i="3" s="1"/>
  <c r="F7" i="2"/>
  <c r="E7" i="2"/>
  <c r="D7" i="2"/>
  <c r="C7" i="2"/>
  <c r="B7" i="2"/>
  <c r="A7" i="2"/>
  <c r="G6" i="2"/>
  <c r="F6" i="2"/>
  <c r="E6" i="2"/>
  <c r="D6" i="2"/>
  <c r="C6" i="2"/>
  <c r="B6" i="2"/>
  <c r="A6" i="2"/>
  <c r="G5" i="2"/>
  <c r="E5" i="3" s="1"/>
  <c r="F5" i="2"/>
  <c r="E5" i="2"/>
  <c r="D5" i="2"/>
  <c r="C5" i="2"/>
  <c r="B5" i="2"/>
  <c r="A5" i="2"/>
  <c r="G4" i="2"/>
  <c r="F4" i="2"/>
  <c r="E4" i="2"/>
  <c r="D4" i="2"/>
  <c r="C4" i="2"/>
  <c r="B4" i="2"/>
  <c r="A4" i="2"/>
  <c r="G3" i="2"/>
  <c r="E3" i="3" s="1"/>
  <c r="F3" i="2"/>
  <c r="E3" i="2"/>
  <c r="D3" i="2"/>
  <c r="B3" i="2"/>
  <c r="A3" i="2"/>
  <c r="F171" i="3" l="1"/>
  <c r="E171" i="3"/>
  <c r="F195" i="3"/>
  <c r="E195" i="3"/>
  <c r="F207" i="3"/>
  <c r="E207" i="3"/>
  <c r="F219" i="3"/>
  <c r="E219" i="3"/>
  <c r="F231" i="3"/>
  <c r="E231" i="3"/>
  <c r="F243" i="3"/>
  <c r="E243" i="3"/>
  <c r="D26" i="3"/>
  <c r="D35" i="3"/>
  <c r="D66" i="3"/>
  <c r="D75" i="3"/>
  <c r="D87" i="3"/>
  <c r="E89" i="3"/>
  <c r="E101" i="3"/>
  <c r="F153" i="3"/>
  <c r="D153" i="3"/>
  <c r="F163" i="3"/>
  <c r="D163" i="3"/>
  <c r="F154" i="3"/>
  <c r="E154" i="3"/>
  <c r="F166" i="3"/>
  <c r="E166" i="3"/>
  <c r="F178" i="3"/>
  <c r="E178" i="3"/>
  <c r="E190" i="3"/>
  <c r="F190" i="3"/>
  <c r="F202" i="3"/>
  <c r="E202" i="3"/>
  <c r="E214" i="3"/>
  <c r="F214" i="3"/>
  <c r="F226" i="3"/>
  <c r="E226" i="3"/>
  <c r="E238" i="3"/>
  <c r="F238" i="3"/>
  <c r="F250" i="3"/>
  <c r="E250" i="3"/>
  <c r="D14" i="3"/>
  <c r="D54" i="3"/>
  <c r="F60" i="3"/>
  <c r="F72" i="3"/>
  <c r="F104" i="3"/>
  <c r="F135" i="3"/>
  <c r="E192" i="3"/>
  <c r="F147" i="3"/>
  <c r="E147" i="3"/>
  <c r="F183" i="3"/>
  <c r="E183" i="3"/>
  <c r="F149" i="3"/>
  <c r="E149" i="3"/>
  <c r="F185" i="3"/>
  <c r="E185" i="3"/>
  <c r="F156" i="3"/>
  <c r="E156" i="3"/>
  <c r="F64" i="3"/>
  <c r="D64" i="3"/>
  <c r="E111" i="3"/>
  <c r="D126" i="3"/>
  <c r="F126" i="3"/>
  <c r="D85" i="3"/>
  <c r="F12" i="3"/>
  <c r="D33" i="3"/>
  <c r="D52" i="3"/>
  <c r="F58" i="3"/>
  <c r="D61" i="3"/>
  <c r="D73" i="3"/>
  <c r="F82" i="3"/>
  <c r="F123" i="3"/>
  <c r="F161" i="3"/>
  <c r="E204" i="3"/>
  <c r="D146" i="3"/>
  <c r="F146" i="3"/>
  <c r="F177" i="3"/>
  <c r="D177" i="3"/>
  <c r="F10" i="3"/>
  <c r="D10" i="3"/>
  <c r="D59" i="3"/>
  <c r="F71" i="3"/>
  <c r="D71" i="3"/>
  <c r="D134" i="3"/>
  <c r="F134" i="3"/>
  <c r="D7" i="3"/>
  <c r="D19" i="3"/>
  <c r="F95" i="3"/>
  <c r="D95" i="3"/>
  <c r="D119" i="3"/>
  <c r="D131" i="3"/>
  <c r="F38" i="3"/>
  <c r="D38" i="3"/>
  <c r="D47" i="3"/>
  <c r="D78" i="3"/>
  <c r="D107" i="3"/>
  <c r="D141" i="3"/>
  <c r="F125" i="3"/>
  <c r="E125" i="3"/>
  <c r="F221" i="3"/>
  <c r="E221" i="3"/>
  <c r="F5" i="3"/>
  <c r="D5" i="3"/>
  <c r="F113" i="3"/>
  <c r="F168" i="3"/>
  <c r="E168" i="3"/>
  <c r="F228" i="3"/>
  <c r="E228" i="3"/>
  <c r="F240" i="3"/>
  <c r="E240" i="3"/>
  <c r="F48" i="3"/>
  <c r="E99" i="3"/>
  <c r="F24" i="3"/>
  <c r="D24" i="3"/>
  <c r="F36" i="3"/>
  <c r="F45" i="3"/>
  <c r="D45" i="3"/>
  <c r="D12" i="3"/>
  <c r="F70" i="3"/>
  <c r="D97" i="3"/>
  <c r="F173" i="3"/>
  <c r="E173" i="3"/>
  <c r="F197" i="3"/>
  <c r="E197" i="3"/>
  <c r="F209" i="3"/>
  <c r="E209" i="3"/>
  <c r="F233" i="3"/>
  <c r="E233" i="3"/>
  <c r="E245" i="3"/>
  <c r="D40" i="3"/>
  <c r="F46" i="3"/>
  <c r="D49" i="3"/>
  <c r="D94" i="3"/>
  <c r="F94" i="3"/>
  <c r="D109" i="3"/>
  <c r="E211" i="3"/>
  <c r="D22" i="3"/>
  <c r="F17" i="3"/>
  <c r="F31" i="3"/>
  <c r="F129" i="3"/>
  <c r="D129" i="3"/>
  <c r="F175" i="3"/>
  <c r="F199" i="3"/>
  <c r="D17" i="3"/>
  <c r="F29" i="3"/>
  <c r="F43" i="3"/>
  <c r="D76" i="3"/>
  <c r="D83" i="3"/>
  <c r="D117" i="3"/>
  <c r="F223" i="3"/>
  <c r="F201" i="3"/>
  <c r="E201" i="3"/>
  <c r="F225" i="3"/>
  <c r="E225" i="3"/>
  <c r="D8" i="3"/>
  <c r="F15" i="3"/>
  <c r="D29" i="3"/>
  <c r="D36" i="3"/>
  <c r="D43" i="3"/>
  <c r="F55" i="3"/>
  <c r="D62" i="3"/>
  <c r="D69" i="3"/>
  <c r="F81" i="3"/>
  <c r="F102" i="3"/>
  <c r="F105" i="3"/>
  <c r="D105" i="3"/>
  <c r="F124" i="3"/>
  <c r="D139" i="3"/>
  <c r="F151" i="3"/>
  <c r="D161" i="3"/>
  <c r="D15" i="3"/>
  <c r="D20" i="3"/>
  <c r="F27" i="3"/>
  <c r="D34" i="3"/>
  <c r="F41" i="3"/>
  <c r="D48" i="3"/>
  <c r="F50" i="3"/>
  <c r="D55" i="3"/>
  <c r="F67" i="3"/>
  <c r="D74" i="3"/>
  <c r="D81" i="3"/>
  <c r="D93" i="3"/>
  <c r="F110" i="3"/>
  <c r="D120" i="3"/>
  <c r="F120" i="3"/>
  <c r="F122" i="3"/>
  <c r="F132" i="3"/>
  <c r="D159" i="3"/>
  <c r="D6" i="3"/>
  <c r="F13" i="3"/>
  <c r="D27" i="3"/>
  <c r="D41" i="3"/>
  <c r="D46" i="3"/>
  <c r="F53" i="3"/>
  <c r="D60" i="3"/>
  <c r="D67" i="3"/>
  <c r="F79" i="3"/>
  <c r="F100" i="3"/>
  <c r="D115" i="3"/>
  <c r="F127" i="3"/>
  <c r="D137" i="3"/>
  <c r="D142" i="3"/>
  <c r="F142" i="3"/>
  <c r="F157" i="3"/>
  <c r="D169" i="3"/>
  <c r="E181" i="3"/>
  <c r="E217" i="3"/>
  <c r="D13" i="3"/>
  <c r="D18" i="3"/>
  <c r="F25" i="3"/>
  <c r="D32" i="3"/>
  <c r="F39" i="3"/>
  <c r="D53" i="3"/>
  <c r="D58" i="3"/>
  <c r="F65" i="3"/>
  <c r="D72" i="3"/>
  <c r="D79" i="3"/>
  <c r="F86" i="3"/>
  <c r="D96" i="3"/>
  <c r="F96" i="3"/>
  <c r="F98" i="3"/>
  <c r="F108" i="3"/>
  <c r="F130" i="3"/>
  <c r="D135" i="3"/>
  <c r="D157" i="3"/>
  <c r="D179" i="3"/>
  <c r="E205" i="3"/>
  <c r="F3" i="3"/>
  <c r="F51" i="3"/>
  <c r="F77" i="3"/>
  <c r="F103" i="3"/>
  <c r="D118" i="3"/>
  <c r="F118" i="3"/>
  <c r="F133" i="3"/>
  <c r="D31" i="3"/>
  <c r="D57" i="3"/>
  <c r="D144" i="3"/>
  <c r="F144" i="3"/>
  <c r="F249" i="3"/>
  <c r="E249" i="3"/>
  <c r="F229" i="3"/>
  <c r="E229" i="3"/>
  <c r="F164" i="3"/>
  <c r="E164" i="3"/>
  <c r="F188" i="3"/>
  <c r="E188" i="3"/>
  <c r="F212" i="3"/>
  <c r="E212" i="3"/>
  <c r="F236" i="3"/>
  <c r="E236" i="3"/>
  <c r="F9" i="3"/>
  <c r="D23" i="3"/>
  <c r="F37" i="3"/>
  <c r="D51" i="3"/>
  <c r="F63" i="3"/>
  <c r="D77" i="3"/>
  <c r="F84" i="3"/>
  <c r="F106" i="3"/>
  <c r="D133" i="3"/>
  <c r="D155" i="3"/>
  <c r="E242" i="3"/>
  <c r="F92" i="3"/>
  <c r="F116" i="3"/>
  <c r="F140" i="3"/>
  <c r="D251" i="3"/>
  <c r="D252" i="3"/>
</calcChain>
</file>

<file path=xl/sharedStrings.xml><?xml version="1.0" encoding="utf-8"?>
<sst xmlns="http://schemas.openxmlformats.org/spreadsheetml/2006/main" count="345" uniqueCount="332">
  <si>
    <t xml:space="preserve">  NIFTY 50 SENTIMENT ENGINE — RAW MARKET DATA</t>
  </si>
  <si>
    <t>Date</t>
  </si>
  <si>
    <t>Nifty_Close</t>
  </si>
  <si>
    <t>India_VIX</t>
  </si>
  <si>
    <t>FII_Net (Cr)</t>
  </si>
  <si>
    <t>DII_Net (Cr)</t>
  </si>
  <si>
    <t>PCR</t>
  </si>
  <si>
    <t>News_Headline</t>
  </si>
  <si>
    <t>BERT_Sentiment</t>
  </si>
  <si>
    <t>India corporate bond market sees ₹9,200 Cr issuances this week</t>
  </si>
  <si>
    <t>India renewable energy capacity crosses 250 GW milestone</t>
  </si>
  <si>
    <t>India container throughput at ports up 12% YoY: ministry data</t>
  </si>
  <si>
    <t>Wipro beats estimates, stock rallies 6.1% in morning trade</t>
  </si>
  <si>
    <t>India PMI manufacturing at 53.8, in-line with consensus forecast</t>
  </si>
  <si>
    <t>Nifty Realty consolidates near 52-week high; sector factors priced in</t>
  </si>
  <si>
    <t>US tariff threat on Indian pharma exports, sector falls 3.1%</t>
  </si>
  <si>
    <t>Sebi board meeting to address F&amp;O regulations; market on hold</t>
  </si>
  <si>
    <t>Nifty Pharma down 2.1% as US FDA sends warning letter to firm</t>
  </si>
  <si>
    <t>IT major mid-quarter update shows steady but unspectacular growth</t>
  </si>
  <si>
    <t>Hero MotoCorp sales beat estimates; two-wheeler stocks rally</t>
  </si>
  <si>
    <t>Bajaj Finance Q4 AUM growth at 28%, NBFC sector leads gains</t>
  </si>
  <si>
    <t>Nifty Chemical index gains on China+1 supply chain shift</t>
  </si>
  <si>
    <t>FII sell-off: ₹5,800 Cr exits equity market in single session</t>
  </si>
  <si>
    <t>Maruti Suzuki Q4 EBITDA margins surprise positively at 13.2%</t>
  </si>
  <si>
    <t>Global recession fears trigger broad-based selling across sectors</t>
  </si>
  <si>
    <t>Large-cap MF inflows at ₹8,300 Cr in June, stable momentum</t>
  </si>
  <si>
    <t>Global tech selloff drags Infosys, TCS down 3-5% each</t>
  </si>
  <si>
    <t>Nifty FMCG sector flat; awaiting rural volume growth trend data</t>
  </si>
  <si>
    <t>India Q1 corporate revenue growth at 11.3% YoY beat estimates</t>
  </si>
  <si>
    <t>India-Vietnam trade corridor investment signals boost logistics stocks</t>
  </si>
  <si>
    <t>Nifty FMCG up 1.6% as rural wage growth outpaces urban</t>
  </si>
  <si>
    <t>India trade deficit at record $25 Bn, rupee hits 8-month low</t>
  </si>
  <si>
    <t>India direct tax buoyancy in line with trend; no major surprises</t>
  </si>
  <si>
    <t>NSE index derivatives turnover normalises post margin rule changes</t>
  </si>
  <si>
    <t>Reliance Industries Q4 profit up 18% YoY, triggers broad market rally</t>
  </si>
  <si>
    <t>India hotel sector occupancy at record 78%, tourism stocks surge</t>
  </si>
  <si>
    <t>Nifty IT index outperforms as rupee weakens, USD revenues boost</t>
  </si>
  <si>
    <t>India fertiliser sector stocks rally on policy subsidy clarity</t>
  </si>
  <si>
    <t>Nifty Midcap 100 gains 2.2% as domestic mutual funds pour in</t>
  </si>
  <si>
    <t>Nifty500 corrects 2.3% in week as FIIs turn sellers again</t>
  </si>
  <si>
    <t>FPIs pull out ₹18,000 Cr in October amid global risk-off mood</t>
  </si>
  <si>
    <t>India 91-day T-Bill yield steady at 6.45% at weekly auction</t>
  </si>
  <si>
    <t>IT sector jumps on strong TCS quarterly guidance, Nifty IT up 2.5%</t>
  </si>
  <si>
    <t>India industrial output contracts 0.4% in December MoM</t>
  </si>
  <si>
    <t>Budget capex multiplier effect felt across cement, steel sectors</t>
  </si>
  <si>
    <t>FII holding in Nifty50 stocks at 22.3%, stable over past month</t>
  </si>
  <si>
    <t>Nifty Energy up 2.9% as ONGC reports strong refining margins</t>
  </si>
  <si>
    <t>Q2 earnings season begins; sector analysts adopt wait-and-watch stance</t>
  </si>
  <si>
    <t>Nifty Listed Private Equity index outperforms on M&amp;A activity</t>
  </si>
  <si>
    <t>Market breadth weak: 1,620 declines vs 380 advances on NSE</t>
  </si>
  <si>
    <t>Nifty Consumer discretionary up 2.1% on wedding season demand</t>
  </si>
  <si>
    <t>India railway sector allocation doubled; infra stocks in focus</t>
  </si>
  <si>
    <t>Nifty Midcap index underperforms as global risk appetite weakens</t>
  </si>
  <si>
    <t>India rating upgraded to BBB+ outlook positive by Fitch Ratings</t>
  </si>
  <si>
    <t>Nifty PSE index at record high on divestment target revision</t>
  </si>
  <si>
    <t>RBI raises CRR by 50 bps, banking stocks fall sharply</t>
  </si>
  <si>
    <t>Asian Paints volume growth beats forecast, consumer sector up</t>
  </si>
  <si>
    <t>Nifty CPSE ETF subscription oversubscribed 4x in latest tranche</t>
  </si>
  <si>
    <t>India credit growth at 14.2% YoY, broadly in line with RBI target</t>
  </si>
  <si>
    <t>India e-commerce GMV grows 34% YoY, retail sector stocks jump</t>
  </si>
  <si>
    <t>Auto stocks rally as vehicle sales post record February numbers</t>
  </si>
  <si>
    <t>Nifty up 260 points as IIP data beats consensus by wide margin</t>
  </si>
  <si>
    <t>Nifty MNC index outperforms on strong global parent guidance</t>
  </si>
  <si>
    <t>FMCG sector outperforms on robust rural demand recovery data</t>
  </si>
  <si>
    <t>DII buying of ₹1,200 Cr broadly offsets modest FII selling today</t>
  </si>
  <si>
    <t>India trade data mixed: exports up 3.1%, imports up 4.6%</t>
  </si>
  <si>
    <t>Nifty50 sees highest single-day FII buying of ₹7,200 Cr</t>
  </si>
  <si>
    <t>Nifty Smallcap 250 rises 2.6% as domestic flows pick up</t>
  </si>
  <si>
    <t>Nifty50 year-to-date return at +12.4%, beats EM peer average</t>
  </si>
  <si>
    <t>Market breadth strong as 1,850 stocks advance on NSE today</t>
  </si>
  <si>
    <t>India corporate profit-to-GDP ratio highest in a decade</t>
  </si>
  <si>
    <t>Nifty IT and Pharma trade in narrow bands; no trigger in view</t>
  </si>
  <si>
    <t>Nifty IT down 4.2% on major US layoff announcements at IT firms</t>
  </si>
  <si>
    <t>PSU banks hold gains from prior session, await RBI credit data</t>
  </si>
  <si>
    <t>Nifty Diversified Banks index up 2.7% on CASA ratio improvement</t>
  </si>
  <si>
    <t>Nifty50 gains 310 points in final hour on short-covering rally</t>
  </si>
  <si>
    <t>GST collection tops ₹2.1 lakh Cr for third consecutive month</t>
  </si>
  <si>
    <t>India LNG terminal capacity expansion boosts energy security</t>
  </si>
  <si>
    <t>Nifty Realty drops 3.5% on rising mortgage rate expectations</t>
  </si>
  <si>
    <t>Nifty50 September futures at 85-point premium; bullish rollover</t>
  </si>
  <si>
    <t>HDFC Bank shares up 4% post Q3 results, NPA at record low</t>
  </si>
  <si>
    <t>Cement sector falls 2.4% on demand slowdown in northern states</t>
  </si>
  <si>
    <t>India budget session begins; markets watch for fiscal roadmap</t>
  </si>
  <si>
    <t>India core sector output rises 7.8%, Nifty defies global weakness</t>
  </si>
  <si>
    <t>India semiconductor wafer fab PLI scheme attracts 6 major bids</t>
  </si>
  <si>
    <t>India telecom stocks tumble on AGR dues ruling uncertainty</t>
  </si>
  <si>
    <t>China slowdown threatens India exports; auto and metal sectors fall</t>
  </si>
  <si>
    <t>Nifty IT Q4 revenue growth at 8.2% CC, above 7.5% estimate</t>
  </si>
  <si>
    <t>Nifty Bank consolidates above 51,000; sector investors stay neutral</t>
  </si>
  <si>
    <t>SEBI approves new SME IPO norms boosting retail investor confidence</t>
  </si>
  <si>
    <t>Nifty50 flat in early trade as mixed global cues keep market cautious</t>
  </si>
  <si>
    <t>Foreign portfolio inflows hit ₹12,000 Cr in a single session</t>
  </si>
  <si>
    <t>Nifty trades sideways as FII and DII flows largely offset each other</t>
  </si>
  <si>
    <t>India urban unemployment falls to 6.8%, consumption outlook positive</t>
  </si>
  <si>
    <t>Nifty Consumer Durables falls 2.6% on weak urban demand data</t>
  </si>
  <si>
    <t>India corporate issuance of green bonds crosses ₹80,000 Cr</t>
  </si>
  <si>
    <t>Nifty50 premium to EM valuation narrows as earnings catch up</t>
  </si>
  <si>
    <t>Bank NPAs rise in PSU segment; lenders down 2-4% across board</t>
  </si>
  <si>
    <t>India-US bilateral trade talks progress slowly; no immediate impact</t>
  </si>
  <si>
    <t>India retail inflation lowest since May 2023 at 3.9%</t>
  </si>
  <si>
    <t>India-UK free trade agreement progress boosts pharma and IT</t>
  </si>
  <si>
    <t>India electricity generation crosses 2,000 BU in FY2025</t>
  </si>
  <si>
    <t>Nifty500 Value 50 index outperforms growth index in Q2</t>
  </si>
  <si>
    <t>India PMI composite at 60.5, signals broad economic expansion</t>
  </si>
  <si>
    <t>India manufacturing PMI at 57.3, highest in 14 months</t>
  </si>
  <si>
    <t>Nifty Metal index plunges 3.7% on China steel dumping fears</t>
  </si>
  <si>
    <t>Nifty500 unchanged ahead of index rebalancing effective month-end</t>
  </si>
  <si>
    <t>India new home sales up 18% QoQ on lower mortgage rates</t>
  </si>
  <si>
    <t>Markets unchanged as investors digest mixed corporate earnings</t>
  </si>
  <si>
    <t>UltraTech Cement Q3 margins expand, infrastructure rally continues</t>
  </si>
  <si>
    <t>India business confidence survey hits 5-year high: FICCI data</t>
  </si>
  <si>
    <t>India IT hiring improves marginally, signals sector recovery</t>
  </si>
  <si>
    <t>Nifty50 holds key support at 24,000 as volumes remain thin</t>
  </si>
  <si>
    <t>Sun Pharma US generics pipeline gets 3 ANDA approvals</t>
  </si>
  <si>
    <t>Nifty Mid Small IT index up 4.2% on SaaS segment deal wins</t>
  </si>
  <si>
    <t>India forex reserves hit all-time high of $712 billion</t>
  </si>
  <si>
    <t>NBFC liquidity tightens; market-wide risk aversion rises</t>
  </si>
  <si>
    <t>India textile sector gets boost from EU trade agreement news</t>
  </si>
  <si>
    <t>Crude oil spike to $98 pushes OMC stocks to 52-week lows</t>
  </si>
  <si>
    <t>India's ease of doing business ranking improves to 63rd globally</t>
  </si>
  <si>
    <t>Nifty Healthcare index rallies 3.1% on domestic sector optimism</t>
  </si>
  <si>
    <t>Nifty500 gains 1.4% as RBI increases FPI debt investment limit</t>
  </si>
  <si>
    <t>US yield inversion deepens, triggering emerging market outflows</t>
  </si>
  <si>
    <t>India WPI inflation stable at 2.1%; no major reaction in bonds</t>
  </si>
  <si>
    <t>India inflation surges to 6.7%, above RBI tolerance band</t>
  </si>
  <si>
    <t>Nifty50 weekly options writing attracts institutional interest</t>
  </si>
  <si>
    <t>India Q4 FY25 trade surplus in services at $17.2 Bn record</t>
  </si>
  <si>
    <t>DIIs average buying of ₹4,800 Cr/day in July, highest this year</t>
  </si>
  <si>
    <t>Sensex surges to all-time high on strong corporate earnings season</t>
  </si>
  <si>
    <t>Nifty PSU Bank index down 3.8% on rising NPA disclosure concerns</t>
  </si>
  <si>
    <t>India capital goods sector up 3.1% on order inflow visibility</t>
  </si>
  <si>
    <t>India Q3 GDP growth at 7.4%, beats all analyst estimates</t>
  </si>
  <si>
    <t>Nifty Financial Services index hits new record on NBFC reforms</t>
  </si>
  <si>
    <t>India power demand growth at 6.1% YoY, in-line with forecasts</t>
  </si>
  <si>
    <t>India fintech payment volumes cross ₹20 lakh Cr monthly</t>
  </si>
  <si>
    <t>Coal India dividend of ₹25/share announced, PSU stocks surge</t>
  </si>
  <si>
    <t>Markets await US FOMC meeting minutes for next direction cue</t>
  </si>
  <si>
    <t>Nifty PSU Bank index up 4.2% on strong asset quality numbers</t>
  </si>
  <si>
    <t>Paytm shares hit circuit down; fintech sector under pressure</t>
  </si>
  <si>
    <t>India fiscal deficit at 76% of target in just 7 months</t>
  </si>
  <si>
    <t>India bond market awaits large government bond auction outcome</t>
  </si>
  <si>
    <t>Nifty REIT index up 2.3% on strong office leasing demand</t>
  </si>
  <si>
    <t>Nifty50 Q3 earnings growth estimated at 14% YoY: analyst poll</t>
  </si>
  <si>
    <t>India services PMI at 59.1, highest reading in two years</t>
  </si>
  <si>
    <t>Nifty Bank crosses 52,000 for first time on credit growth data</t>
  </si>
  <si>
    <t>India aviation stocks soar as passenger traffic hits peak</t>
  </si>
  <si>
    <t>DII buying of ₹3,400 Cr cushions market on FII selling day</t>
  </si>
  <si>
    <t>India's fiscal deficit FY2025 final at 5.1%, better than target</t>
  </si>
  <si>
    <t>Nifty50 range-bound session; global cues awaited for direction</t>
  </si>
  <si>
    <t>LIC dividend surprise of ₹6/share drives PSU insurance rally</t>
  </si>
  <si>
    <t>Nifty50 crosses 25,000 for first time this quarter</t>
  </si>
  <si>
    <t>FII buying in Nifty F&amp;O segment signals sustained bullish outlook</t>
  </si>
  <si>
    <t>India hospitality sector hits 5-year high occupancy in Q3</t>
  </si>
  <si>
    <t>India bond yields fall to 6.82% on strong demand at RBI auction</t>
  </si>
  <si>
    <t>India current account deficit widens to 2.8% of GDP, rupee weak</t>
  </si>
  <si>
    <t>India 10-year bond yield rises to 7.35%, equity valuations pressured</t>
  </si>
  <si>
    <t>Nifty Realty crosses 1,000 mark for first time in its history</t>
  </si>
  <si>
    <t>Strong Q3 results season: 68% of Nifty50 companies beat estimates</t>
  </si>
  <si>
    <t>India crude oil imports fall as domestic production rises</t>
  </si>
  <si>
    <t>Rupee steady at 84.10; RBI likely managing exchange rate volatility</t>
  </si>
  <si>
    <t>FII net activity nearly flat at ₹-120 Cr in today's session</t>
  </si>
  <si>
    <t>India gold import at $3.1 Bn in March, broadly in line with estimate</t>
  </si>
  <si>
    <t>Tata Motors Q3 JLR revenue growth lifts entire auto sector</t>
  </si>
  <si>
    <t>SBI posts record quarterly profit, banking index up 3.5%</t>
  </si>
  <si>
    <t>Small and midcap stocks hit hard as mutual fund redemptions spike</t>
  </si>
  <si>
    <t>Nifty IT gains on strong Q1 deal wins across top-4 IT firms</t>
  </si>
  <si>
    <t>India Q2 GDP growth disappoints at 5.8% vs 6.9% expected</t>
  </si>
  <si>
    <t>India telecom ARPU rises to ₹218 on tariff hike cycle</t>
  </si>
  <si>
    <t>Oil India stake sale overhang creates sector-wide pressure</t>
  </si>
  <si>
    <t>India logistics sector up 2.8% on PM GatiShakti progress</t>
  </si>
  <si>
    <t>Nifty50 falls for 4th straight session, technically oversold</t>
  </si>
  <si>
    <t>India IPO pipeline for H2 2025: 55 filings pending with SEBI</t>
  </si>
  <si>
    <t>Solar energy sector up 5.3% as PLI scheme disbursements start</t>
  </si>
  <si>
    <t>India monsoon deficit 15%, agri stocks and FMCG rural play down</t>
  </si>
  <si>
    <t>Macquarie upgrades Nifty target to 27,000, market sentiment lifts</t>
  </si>
  <si>
    <t>India mutual fund AUM crosses ₹60 lakh Cr milestone</t>
  </si>
  <si>
    <t>FII derivative positioning turns net short on Nifty index</t>
  </si>
  <si>
    <t>Nifty Financials down 2.2% as microfinance stress data released</t>
  </si>
  <si>
    <t>India economic survey projects 7.0% growth for FY2026</t>
  </si>
  <si>
    <t>Nifty50 adds 420 points on positive global cues and FII buying</t>
  </si>
  <si>
    <t>Nifty50 breaks key 22,500 support, technical selling accelerates</t>
  </si>
  <si>
    <t>Global oil prices steady near $82 per barrel; no sector divergence</t>
  </si>
  <si>
    <t>RBI MPC meeting outcome awaited; markets trade flat in range</t>
  </si>
  <si>
    <t>India market cap crosses $4.5 trillion for first time</t>
  </si>
  <si>
    <t>Rupee slips to 87.40 against USD, RBI intervenes to stem fall</t>
  </si>
  <si>
    <t>India IPO market strongest in 5 years with 42 listings in Q1</t>
  </si>
  <si>
    <t>India consumer confidence index unchanged at 98.4 in latest survey</t>
  </si>
  <si>
    <t>Markets tumble 1.9% on geopolitical tensions in Middle East</t>
  </si>
  <si>
    <t>Nifty50 technically breaks out of 3-month consolidation range</t>
  </si>
  <si>
    <t>NSE market turnover at ₹1.2 lakh Cr, volumes slightly below average</t>
  </si>
  <si>
    <t>Markets mixed: IT gains offset by PSU bank weakness in index</t>
  </si>
  <si>
    <t>NSE F&amp;O volumes recover after SEBI margin tweaks stabilise</t>
  </si>
  <si>
    <t>Nifty Consumption index at all-time high on urban spend data</t>
  </si>
  <si>
    <t>Nifty50 bulk deals show large domestic institution accumulation</t>
  </si>
  <si>
    <t>RBI holds repo rate at 6.25%, signals accommodative stance ahead</t>
  </si>
  <si>
    <t>India healthcare spending to hit ₹6.2 lakh Cr in FY2026</t>
  </si>
  <si>
    <t>India gold ETF inflows at ₹1,800 Cr, second best monthly total</t>
  </si>
  <si>
    <t>Adani Group stocks under pressure on renewed concerns</t>
  </si>
  <si>
    <t>Nifty Bank crashes 2.8% on credit quality concerns in MFI segment</t>
  </si>
  <si>
    <t>Budget 2025 capex allocation jumps 22%, infra stocks surge</t>
  </si>
  <si>
    <t>India capex spending on track; market sentiment remains stable</t>
  </si>
  <si>
    <t>Nifty50 consolidates near 24,500 ahead of key CPI data release</t>
  </si>
  <si>
    <t>India direct tax collection exceeds FY2025 target by ₹40,000 Cr</t>
  </si>
  <si>
    <t>Nifty Energy down 2.7% as gas pricing policy concerns surface</t>
  </si>
  <si>
    <t>SEBI margin rules tightened; derivative volumes crash 22%</t>
  </si>
  <si>
    <t>India inflation eases to 4.1%, RBI policy outlook turns positive</t>
  </si>
  <si>
    <t>India exports decline 8.3% YoY in February, trade outlook grim</t>
  </si>
  <si>
    <t>IT sector slumps 3.4% on weak US tech earnings guidance</t>
  </si>
  <si>
    <t>Nifty50 options volatility spikes ahead of Union Budget presentation</t>
  </si>
  <si>
    <t>Nifty50 rallies 1.8% as FIIs pump ₹4,200 Cr into equities</t>
  </si>
  <si>
    <t>MSCI weight for India equities raised to 19.3% from 18.5%</t>
  </si>
  <si>
    <t>Vedanta misses Q3 estimates; mining sector in broad selloff</t>
  </si>
  <si>
    <t>Nifty Private Bank index at record; credit cycle remains strong</t>
  </si>
  <si>
    <t>India-UAE trade deal finalized, Nifty Metal index surges 3.2%</t>
  </si>
  <si>
    <t>India steel demand projected to grow 9% in FY2026: government</t>
  </si>
  <si>
    <t>Defence sector stocks rise sharply on government order pipeline</t>
  </si>
  <si>
    <t>Midcap and smallcap indices trade in line with Nifty; no divergence</t>
  </si>
  <si>
    <t>India current account deficit narrows to 0.9% of GDP</t>
  </si>
  <si>
    <t>India power sector reforms attract $8.4 Bn foreign investment</t>
  </si>
  <si>
    <t>Domestic institutional selling of ₹4,100 Cr drags market down</t>
  </si>
  <si>
    <t>Market participants square off ahead of monthly F&amp;O expiry</t>
  </si>
  <si>
    <t>FIIs turn net buyers for 5th consecutive session, buying ₹6,300 Cr</t>
  </si>
  <si>
    <t>SEBI consultation paper on algo trading released; awaiting responses</t>
  </si>
  <si>
    <t>Nifty50 drops 580 points on US Fed hawkish stance signals</t>
  </si>
  <si>
    <t>Nifty Pharma rallies 2.8% on US FDA approvals for domestic firms</t>
  </si>
  <si>
    <t>Nifty FMCG volume growth accelerates to 9.4% in Q3 estimates</t>
  </si>
  <si>
    <t>India-Japan semiconductor JV announced, tech stocks rally</t>
  </si>
  <si>
    <t>Adani Ports wins major contract, infrastructure stocks rise broadly</t>
  </si>
  <si>
    <t>NTPC announces major renewable capacity addition, green energy stocks up</t>
  </si>
  <si>
    <t>Crude oil at $96/barrel hits India import bill, market falls</t>
  </si>
  <si>
    <t>MF SIP contributions cross ₹21,000 Cr monthly for first time</t>
  </si>
  <si>
    <t>Nifty Consumer Staples maintains resilience in volatile session</t>
  </si>
  <si>
    <t>Nifty Realty jumps 4.1% as RBI rate cut boosted housing demand</t>
  </si>
  <si>
    <t>India's fiscal consolidation on track: FRBM targets to be met</t>
  </si>
  <si>
    <t>Nifty Energy Q4 earnings growth at 16.4%, beats expectations</t>
  </si>
  <si>
    <t>Nifty consolidates after 5-day winning streak; breadth neutral</t>
  </si>
  <si>
    <t>India Q4 advance tax collection up 19% YoY, positive signal</t>
  </si>
  <si>
    <t>India services inflation eases marginally; overall outlook stable</t>
  </si>
  <si>
    <t>HDFC Life, SBI Life hit 52-week highs on strong premium data</t>
  </si>
  <si>
    <t>India power grid stocks fall on regulator tariff revision</t>
  </si>
  <si>
    <t>Nifty Midcap 150 gains 2.4% as broader earnings season impresses</t>
  </si>
  <si>
    <t>Tata Consultancy Services bags $1.2 Bn multi-year contract</t>
  </si>
  <si>
    <t>India corporate governance standards improve: SEBI annual report</t>
  </si>
  <si>
    <t>Nifty Smallcap 100 gains 3.1% as SIP flows hit record high</t>
  </si>
  <si>
    <t>Nifty50 technical setup constructive above 200-DMA: analysts</t>
  </si>
  <si>
    <t>RBI OMO purchase of ₹30,000 Cr eases liquidity, bonds rally</t>
  </si>
  <si>
    <t>Nifty50 market-on-close buying surge; institutions accumulate</t>
  </si>
  <si>
    <t>Nifty Auto index flat; sector monitors monthly sales print closely</t>
  </si>
  <si>
    <t>India private capex cycle revival evident in bank credit data</t>
  </si>
  <si>
    <t>India startup ecosystem: 8 unicorns added in Q1 2025</t>
  </si>
  <si>
    <t>Nifty Commodities stable as crude, copper hold key levels</t>
  </si>
  <si>
    <t>India EV policy overhaul attracts Volkswagen and BMW investments</t>
  </si>
  <si>
    <t>Nifty Oil &amp; Gas stable as OMC marketing margins stay healthy</t>
  </si>
  <si>
    <t>Nifty Metal index outperforms on domestic demand recovery</t>
  </si>
  <si>
    <t>Nifty Infrastructure index beats broader market in July rally</t>
  </si>
  <si>
    <t>NSE volatility index at 15.8, one of the lowest readings this year</t>
  </si>
  <si>
    <t>India 5G rollout progress positive for telecom sector</t>
  </si>
  <si>
    <t>L&amp;T bags ₹18,000 Cr infrastructure order, stock up 3.8%</t>
  </si>
  <si>
    <t>Nifty Bank trades in 200-point range ahead of RBI credit policy</t>
  </si>
  <si>
    <t xml:space="preserve">  QUANTITATIVE MODEL — LOG RETURNS, VOLATILITY &amp; SIGNALS</t>
  </si>
  <si>
    <t>Log_Returns</t>
  </si>
  <si>
    <t>Volatility_Regime</t>
  </si>
  <si>
    <t>Inst_Flow (Cr)</t>
  </si>
  <si>
    <t>PCR_Signal</t>
  </si>
  <si>
    <t>Next_Day_Trend</t>
  </si>
  <si>
    <t>N/A</t>
  </si>
  <si>
    <t xml:space="preserve">  QUALITATIVE SENTIMENT — NLP &amp; BERT ANALYSIS</t>
  </si>
  <si>
    <t>Sentiment_Category</t>
  </si>
  <si>
    <t>Market_Impact</t>
  </si>
  <si>
    <t>Signal_Accuracy</t>
  </si>
  <si>
    <t xml:space="preserve">  ANALYTICS TABLES — DESCRIPTIVE STATISTICS &amp; RISK INSIGHTS</t>
  </si>
  <si>
    <t xml:space="preserve">  STUDY 1A — DESCRIPTIVE STATISTICS</t>
  </si>
  <si>
    <t xml:space="preserve">  STUDY 1B — RISK ANALYSIS (Volatility Regime)</t>
  </si>
  <si>
    <t>Statistic</t>
  </si>
  <si>
    <t>Regime</t>
  </si>
  <si>
    <t>Avg Log Return</t>
  </si>
  <si>
    <t>Count</t>
  </si>
  <si>
    <t>Avg VIX</t>
  </si>
  <si>
    <t>Observations</t>
  </si>
  <si>
    <t>Stable</t>
  </si>
  <si>
    <t>Mean</t>
  </si>
  <si>
    <t>High Risk</t>
  </si>
  <si>
    <t>Median</t>
  </si>
  <si>
    <t>Std Deviation</t>
  </si>
  <si>
    <t>TOTAL</t>
  </si>
  <si>
    <t>Minimum</t>
  </si>
  <si>
    <t>Maximum</t>
  </si>
  <si>
    <t>Skewness</t>
  </si>
  <si>
    <t xml:space="preserve">  STUDY 2 — BERT SENTIMENT ACCURACY</t>
  </si>
  <si>
    <t xml:space="preserve">  STUDY 3 — PCR SIGNAL ACCURACY</t>
  </si>
  <si>
    <t>Variance</t>
  </si>
  <si>
    <t>BERT Sentiment</t>
  </si>
  <si>
    <t>Total Count</t>
  </si>
  <si>
    <t>Correct</t>
  </si>
  <si>
    <t>Accuracy %</t>
  </si>
  <si>
    <t>PCR Signal</t>
  </si>
  <si>
    <t>Total</t>
  </si>
  <si>
    <t>Positive</t>
  </si>
  <si>
    <t>Bearish (-1)</t>
  </si>
  <si>
    <t>50.0%</t>
  </si>
  <si>
    <t>Neutral</t>
  </si>
  <si>
    <t>Neutral (0)</t>
  </si>
  <si>
    <t>0.0%</t>
  </si>
  <si>
    <t>Negative</t>
  </si>
  <si>
    <t>Bullish (+1)</t>
  </si>
  <si>
    <t>50.7%</t>
  </si>
  <si>
    <t>NIFTY 50 SENTIMENT ENGINE  —  MANAGERIAL DASHBOARD  |  FY 2025</t>
  </si>
  <si>
    <t>Naik &amp; Inamdar (2024) Research Framework  |  Data: 01-Jan-2025 to 07-Sep-2025  |  Observation Period: 250 Trading Days</t>
  </si>
  <si>
    <t>TOTAL SAMPLES</t>
  </si>
  <si>
    <t>PCR WIN RATE</t>
  </si>
  <si>
    <t>AVG. VOLATILITY (VIX)</t>
  </si>
  <si>
    <t>250</t>
  </si>
  <si>
    <t>23.6%</t>
  </si>
  <si>
    <t>18.39</t>
  </si>
  <si>
    <t>Trading Days Observed</t>
  </si>
  <si>
    <t>PCR Signal Prediction Accuracy</t>
  </si>
  <si>
    <t>India VIX Average (Observation Period)</t>
  </si>
  <si>
    <t xml:space="preserve">  ● KEY MARKET CHARTS</t>
  </si>
  <si>
    <t>Bearish</t>
  </si>
  <si>
    <t>Bullish</t>
  </si>
  <si>
    <t xml:space="preserve">  ● SUMMARY STATISTICS  |  ● SLICER &amp; TIMELINE NOTE</t>
  </si>
  <si>
    <t>Market Overview</t>
  </si>
  <si>
    <t>Nifty50 opened at ₹24,000 and closed at ₹25,620 — a +6.8% period return.</t>
  </si>
  <si>
    <t>Volatility Profile</t>
  </si>
  <si>
    <t>India VIX ranged from 11.8 to 25.5. Avg VIX = 18.39. High-Risk days: 69.</t>
  </si>
  <si>
    <t>PCR Signal Accuracy</t>
  </si>
  <si>
    <t>Bullish signals: 71 days, Neutral: 133, Bearish: 46. Win Rate: 23.6%.</t>
  </si>
  <si>
    <t>Positive news: 114 days, Neutral: 74, Negative: 62.</t>
  </si>
  <si>
    <t>Institutional Flow</t>
  </si>
  <si>
    <t>FII net flows ranged ₹-2,646 to ₹2,766 Cr. DII flows partially offset FII activity.</t>
  </si>
  <si>
    <t>Interactive Filters</t>
  </si>
  <si>
    <t>⚡ Insert SLICER for Volatility_Regime &amp; BERT_Sentiment from Analytics_Tables pivot. Insert TIMELINE for Date filtering.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</si>
</sst>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d\-mmm\-yy"/>
    <numFmt numFmtId="166" formatCode="0.0000"/>
    <numFmt numFmtId="167" formatCode="0.000000"/>
    <numFmt numFmtId="168" formatCode="0.0&quot;%&quot;"/>
  </numFmts>
  <fonts count="24" x14ac:knownFonts="1">
    <font>
      <sz val="11"/>
      <color theme="1"/>
      <name val="Calibri"/>
      <family val="2"/>
      <scheme val="minor"/>
    </font>
    <font>
      <sz val="10"/>
      <color rgb="FFFFFFFF"/>
      <name val="Calibri"/>
      <family val="2"/>
    </font>
    <font>
      <b/>
      <sz val="10"/>
      <color rgb="FF7FB3D3"/>
      <name val="Calibri"/>
      <family val="2"/>
    </font>
    <font>
      <b/>
      <sz val="28"/>
      <color rgb="FF1ABC9C"/>
      <name val="Calibri"/>
      <family val="2"/>
    </font>
    <font>
      <sz val="9"/>
      <color rgb="FFBDC3C7"/>
      <name val="Calibri"/>
      <family val="2"/>
    </font>
    <font>
      <b/>
      <sz val="28"/>
      <color rgb="FFE74C3C"/>
      <name val="Calibri"/>
      <family val="2"/>
    </font>
    <font>
      <b/>
      <sz val="28"/>
      <color rgb="FFF39C12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10"/>
      <color rgb="FF1ABC9C"/>
      <name val="Calibri"/>
      <family val="2"/>
    </font>
    <font>
      <sz val="10"/>
      <color rgb="FFBDC3C7"/>
      <name val="Calibri"/>
      <family val="2"/>
    </font>
    <font>
      <b/>
      <sz val="14"/>
      <color rgb="FFFFFFFF"/>
      <name val="Times New Roman"/>
      <family val="1"/>
    </font>
    <font>
      <sz val="11"/>
      <color theme="1"/>
      <name val="Times New Roman"/>
      <family val="1"/>
    </font>
    <font>
      <b/>
      <sz val="10"/>
      <color rgb="FFFFFFFF"/>
      <name val="Times New Roman"/>
      <family val="1"/>
    </font>
    <font>
      <sz val="10"/>
      <color rgb="FFD0D3D4"/>
      <name val="Times New Roman"/>
      <family val="1"/>
    </font>
    <font>
      <sz val="10"/>
      <color rgb="FFFFFFFF"/>
      <name val="Times New Roman"/>
      <family val="1"/>
    </font>
    <font>
      <sz val="9"/>
      <color rgb="FFD0D3D4"/>
      <name val="Times New Roman"/>
      <family val="1"/>
    </font>
    <font>
      <b/>
      <sz val="10"/>
      <color rgb="FFF39C12"/>
      <name val="Times New Roman"/>
      <family val="1"/>
    </font>
    <font>
      <b/>
      <sz val="10"/>
      <color rgb="FF27AE60"/>
      <name val="Times New Roman"/>
      <family val="1"/>
    </font>
    <font>
      <b/>
      <sz val="10"/>
      <color rgb="FFE74C3C"/>
      <name val="Times New Roman"/>
      <family val="1"/>
    </font>
    <font>
      <b/>
      <sz val="12"/>
      <color rgb="FFFFFFFF"/>
      <name val="Times New Roman"/>
      <family val="1"/>
    </font>
    <font>
      <b/>
      <sz val="10"/>
      <color rgb="FFBDC3C7"/>
      <name val="Times New Roman"/>
      <family val="1"/>
    </font>
    <font>
      <b/>
      <sz val="18"/>
      <color rgb="FFFFFFFF"/>
      <name val="Times New Roman"/>
      <family val="1"/>
    </font>
    <font>
      <sz val="9"/>
      <color rgb="FF7FB3D3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1B4F72"/>
        <bgColor rgb="FF1B4F72"/>
      </patternFill>
    </fill>
    <fill>
      <patternFill patternType="solid">
        <fgColor rgb="FF2E86C1"/>
        <bgColor rgb="FF2E86C1"/>
      </patternFill>
    </fill>
    <fill>
      <patternFill patternType="solid">
        <fgColor rgb="FF162330"/>
        <bgColor rgb="FF162330"/>
      </patternFill>
    </fill>
    <fill>
      <patternFill patternType="solid">
        <fgColor rgb="FF1C2B3A"/>
        <bgColor rgb="FF1C2B3A"/>
      </patternFill>
    </fill>
    <fill>
      <patternFill patternType="solid">
        <fgColor rgb="FF1A2E45"/>
        <bgColor rgb="FF1A2E45"/>
      </patternFill>
    </fill>
    <fill>
      <patternFill patternType="solid">
        <fgColor rgb="FF1ABC9C"/>
        <bgColor rgb="FF1ABC9C"/>
      </patternFill>
    </fill>
    <fill>
      <patternFill patternType="solid">
        <fgColor rgb="FF1A2E3A"/>
        <bgColor rgb="FF1A2E3A"/>
      </patternFill>
    </fill>
    <fill>
      <patternFill patternType="solid">
        <fgColor rgb="FF1F3547"/>
        <bgColor rgb="FF1F3547"/>
      </patternFill>
    </fill>
    <fill>
      <patternFill patternType="solid">
        <fgColor rgb="FF1A3A2A"/>
        <bgColor rgb="FF1A3A2A"/>
      </patternFill>
    </fill>
    <fill>
      <patternFill patternType="solid">
        <fgColor rgb="FF1E8449"/>
        <bgColor rgb="FF1E8449"/>
      </patternFill>
    </fill>
    <fill>
      <patternFill patternType="solid">
        <fgColor rgb="FF162A1E"/>
        <bgColor rgb="FF162A1E"/>
      </patternFill>
    </fill>
    <fill>
      <patternFill patternType="solid">
        <fgColor rgb="FF1A3328"/>
        <bgColor rgb="FF1A3328"/>
      </patternFill>
    </fill>
    <fill>
      <patternFill patternType="solid">
        <fgColor rgb="FF1F3A5A"/>
        <bgColor rgb="FF1F3A5A"/>
      </patternFill>
    </fill>
    <fill>
      <patternFill patternType="solid">
        <fgColor rgb="FF1E6B3C"/>
        <bgColor rgb="FF1E6B3C"/>
      </patternFill>
    </fill>
    <fill>
      <patternFill patternType="solid">
        <fgColor rgb="FF0D1B2A"/>
        <bgColor rgb="FF0D1B2A"/>
      </patternFill>
    </fill>
    <fill>
      <patternFill patternType="solid">
        <fgColor rgb="FF0E2037"/>
        <bgColor rgb="FF0E2037"/>
      </patternFill>
    </fill>
    <fill>
      <patternFill patternType="solid">
        <fgColor rgb="FF1A3A5A"/>
        <bgColor rgb="FF1A3A5A"/>
      </patternFill>
    </fill>
    <fill>
      <patternFill patternType="solid">
        <fgColor rgb="FF0F1E30"/>
        <bgColor rgb="FF0F1E30"/>
      </patternFill>
    </fill>
  </fills>
  <borders count="6">
    <border>
      <left/>
      <right/>
      <top/>
      <bottom/>
      <diagonal/>
    </border>
    <border>
      <left style="thin">
        <color rgb="FF8EA0B4"/>
      </left>
      <right style="thin">
        <color rgb="FF8EA0B4"/>
      </right>
      <top style="thin">
        <color rgb="FF8EA0B4"/>
      </top>
      <bottom style="thin">
        <color rgb="FF8EA0B4"/>
      </bottom>
      <diagonal/>
    </border>
    <border>
      <left/>
      <right/>
      <top style="thin">
        <color rgb="FF8EA0B4"/>
      </top>
      <bottom style="thin">
        <color rgb="FF8EA0B4"/>
      </bottom>
      <diagonal/>
    </border>
    <border>
      <left/>
      <right style="thin">
        <color rgb="FF8EA0B4"/>
      </right>
      <top style="thin">
        <color rgb="FF8EA0B4"/>
      </top>
      <bottom style="thin">
        <color rgb="FF8EA0B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EA0B4"/>
      </left>
      <right style="thin">
        <color rgb="FF8EA0B4"/>
      </right>
      <top/>
      <bottom style="thin">
        <color rgb="FF8EA0B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16" borderId="0" xfId="0" applyFill="1"/>
    <xf numFmtId="0" fontId="8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9" fillId="19" borderId="0" xfId="0" applyFont="1" applyFill="1" applyAlignment="1">
      <alignment horizontal="left" vertical="center"/>
    </xf>
    <xf numFmtId="0" fontId="0" fillId="0" borderId="0" xfId="0"/>
    <xf numFmtId="0" fontId="10" fillId="19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3" borderId="0" xfId="0" applyFill="1"/>
    <xf numFmtId="0" fontId="5" fillId="6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2" fillId="0" borderId="0" xfId="0" applyFont="1"/>
    <xf numFmtId="0" fontId="13" fillId="3" borderId="4" xfId="0" applyFont="1" applyFill="1" applyBorder="1" applyAlignment="1">
      <alignment horizontal="center" vertical="center"/>
    </xf>
    <xf numFmtId="165" fontId="14" fillId="4" borderId="5" xfId="0" applyNumberFormat="1" applyFont="1" applyFill="1" applyBorder="1" applyAlignment="1">
      <alignment horizontal="center" vertical="center"/>
    </xf>
    <xf numFmtId="4" fontId="15" fillId="4" borderId="5" xfId="0" applyNumberFormat="1" applyFont="1" applyFill="1" applyBorder="1" applyAlignment="1">
      <alignment horizontal="center" vertical="center"/>
    </xf>
    <xf numFmtId="2" fontId="14" fillId="4" borderId="5" xfId="0" applyNumberFormat="1" applyFont="1" applyFill="1" applyBorder="1" applyAlignment="1">
      <alignment horizontal="center" vertical="center"/>
    </xf>
    <xf numFmtId="3" fontId="14" fillId="4" borderId="5" xfId="0" applyNumberFormat="1" applyFont="1" applyFill="1" applyBorder="1" applyAlignment="1">
      <alignment horizontal="center" vertical="center"/>
    </xf>
    <xf numFmtId="166" fontId="14" fillId="4" borderId="5" xfId="0" applyNumberFormat="1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left" vertical="center"/>
    </xf>
    <xf numFmtId="1" fontId="17" fillId="4" borderId="5" xfId="0" applyNumberFormat="1" applyFont="1" applyFill="1" applyBorder="1" applyAlignment="1">
      <alignment horizontal="center" vertical="center"/>
    </xf>
    <xf numFmtId="165" fontId="14" fillId="5" borderId="1" xfId="0" applyNumberFormat="1" applyFont="1" applyFill="1" applyBorder="1" applyAlignment="1">
      <alignment horizontal="center" vertical="center"/>
    </xf>
    <xf numFmtId="4" fontId="15" fillId="5" borderId="1" xfId="0" applyNumberFormat="1" applyFont="1" applyFill="1" applyBorder="1" applyAlignment="1">
      <alignment horizontal="center" vertical="center"/>
    </xf>
    <xf numFmtId="2" fontId="14" fillId="5" borderId="1" xfId="0" applyNumberFormat="1" applyFont="1" applyFill="1" applyBorder="1" applyAlignment="1">
      <alignment horizontal="center" vertical="center"/>
    </xf>
    <xf numFmtId="3" fontId="14" fillId="5" borderId="1" xfId="0" applyNumberFormat="1" applyFont="1" applyFill="1" applyBorder="1" applyAlignment="1">
      <alignment horizontal="center" vertical="center"/>
    </xf>
    <xf numFmtId="166" fontId="14" fillId="5" borderId="1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center"/>
    </xf>
    <xf numFmtId="1" fontId="18" fillId="5" borderId="1" xfId="0" applyNumberFormat="1" applyFont="1" applyFill="1" applyBorder="1" applyAlignment="1">
      <alignment horizontal="center" vertical="center"/>
    </xf>
    <xf numFmtId="165" fontId="14" fillId="4" borderId="1" xfId="0" applyNumberFormat="1" applyFont="1" applyFill="1" applyBorder="1" applyAlignment="1">
      <alignment horizontal="center" vertical="center"/>
    </xf>
    <xf numFmtId="4" fontId="15" fillId="4" borderId="1" xfId="0" applyNumberFormat="1" applyFont="1" applyFill="1" applyBorder="1" applyAlignment="1">
      <alignment horizontal="center" vertical="center"/>
    </xf>
    <xf numFmtId="2" fontId="14" fillId="4" borderId="1" xfId="0" applyNumberFormat="1" applyFon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center" vertical="center"/>
    </xf>
    <xf numFmtId="166" fontId="14" fillId="4" borderId="1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left" vertical="center"/>
    </xf>
    <xf numFmtId="1" fontId="18" fillId="4" borderId="1" xfId="0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 vertical="center"/>
    </xf>
    <xf numFmtId="1" fontId="17" fillId="5" borderId="1" xfId="0" applyNumberFormat="1" applyFont="1" applyFill="1" applyBorder="1" applyAlignment="1">
      <alignment horizontal="center" vertical="center"/>
    </xf>
    <xf numFmtId="1" fontId="19" fillId="4" borderId="1" xfId="0" applyNumberFormat="1" applyFont="1" applyFill="1" applyBorder="1" applyAlignment="1">
      <alignment horizontal="center" vertical="center"/>
    </xf>
    <xf numFmtId="1" fontId="19" fillId="5" borderId="1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horizontal="left" vertical="center"/>
    </xf>
    <xf numFmtId="0" fontId="13" fillId="7" borderId="1" xfId="0" applyFont="1" applyFill="1" applyBorder="1" applyAlignment="1">
      <alignment horizontal="center" vertical="center"/>
    </xf>
    <xf numFmtId="165" fontId="14" fillId="8" borderId="1" xfId="0" applyNumberFormat="1" applyFont="1" applyFill="1" applyBorder="1" applyAlignment="1">
      <alignment horizontal="center" vertical="center"/>
    </xf>
    <xf numFmtId="4" fontId="15" fillId="8" borderId="1" xfId="0" applyNumberFormat="1" applyFont="1" applyFill="1" applyBorder="1" applyAlignment="1">
      <alignment horizontal="center" vertical="center"/>
    </xf>
    <xf numFmtId="167" fontId="14" fillId="8" borderId="1" xfId="0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3" fontId="14" fillId="8" borderId="1" xfId="0" applyNumberFormat="1" applyFont="1" applyFill="1" applyBorder="1" applyAlignment="1">
      <alignment horizontal="center" vertical="center"/>
    </xf>
    <xf numFmtId="1" fontId="14" fillId="8" borderId="1" xfId="0" applyNumberFormat="1" applyFont="1" applyFill="1" applyBorder="1" applyAlignment="1">
      <alignment horizontal="center" vertical="center"/>
    </xf>
    <xf numFmtId="165" fontId="14" fillId="9" borderId="1" xfId="0" applyNumberFormat="1" applyFont="1" applyFill="1" applyBorder="1" applyAlignment="1">
      <alignment horizontal="center" vertical="center"/>
    </xf>
    <xf numFmtId="4" fontId="15" fillId="9" borderId="1" xfId="0" applyNumberFormat="1" applyFont="1" applyFill="1" applyBorder="1" applyAlignment="1">
      <alignment horizontal="center" vertical="center"/>
    </xf>
    <xf numFmtId="167" fontId="14" fillId="9" borderId="1" xfId="0" applyNumberFormat="1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3" fontId="14" fillId="9" borderId="1" xfId="0" applyNumberFormat="1" applyFont="1" applyFill="1" applyBorder="1" applyAlignment="1">
      <alignment horizontal="center" vertical="center"/>
    </xf>
    <xf numFmtId="1" fontId="14" fillId="9" borderId="1" xfId="0" applyNumberFormat="1" applyFont="1" applyFill="1" applyBorder="1" applyAlignment="1">
      <alignment horizontal="center" vertical="center"/>
    </xf>
    <xf numFmtId="0" fontId="11" fillId="10" borderId="0" xfId="0" applyFont="1" applyFill="1" applyAlignment="1">
      <alignment horizontal="left" vertical="center"/>
    </xf>
    <xf numFmtId="0" fontId="13" fillId="11" borderId="1" xfId="0" applyFont="1" applyFill="1" applyBorder="1" applyAlignment="1">
      <alignment horizontal="center" vertical="center"/>
    </xf>
    <xf numFmtId="165" fontId="14" fillId="12" borderId="1" xfId="0" applyNumberFormat="1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left" vertical="center"/>
    </xf>
    <xf numFmtId="1" fontId="14" fillId="12" borderId="1" xfId="0" applyNumberFormat="1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165" fontId="14" fillId="13" borderId="1" xfId="0" applyNumberFormat="1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left" vertical="center"/>
    </xf>
    <xf numFmtId="1" fontId="14" fillId="13" borderId="1" xfId="0" applyNumberFormat="1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1" fillId="14" borderId="0" xfId="0" applyFont="1" applyFill="1" applyAlignment="1">
      <alignment horizontal="left" vertical="center"/>
    </xf>
    <xf numFmtId="0" fontId="12" fillId="0" borderId="0" xfId="0" applyFont="1"/>
    <xf numFmtId="0" fontId="20" fillId="2" borderId="0" xfId="0" applyFont="1" applyFill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2" fillId="7" borderId="0" xfId="0" applyFont="1" applyFill="1"/>
    <xf numFmtId="0" fontId="20" fillId="2" borderId="1" xfId="0" applyFont="1" applyFill="1" applyBorder="1" applyAlignment="1">
      <alignment horizontal="left" vertical="center"/>
    </xf>
    <xf numFmtId="0" fontId="12" fillId="0" borderId="2" xfId="0" applyFont="1" applyBorder="1"/>
    <xf numFmtId="0" fontId="12" fillId="0" borderId="3" xfId="0" applyFont="1" applyBorder="1"/>
    <xf numFmtId="0" fontId="18" fillId="5" borderId="1" xfId="0" applyFont="1" applyFill="1" applyBorder="1" applyAlignment="1">
      <alignment horizontal="center" vertical="center"/>
    </xf>
    <xf numFmtId="168" fontId="18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168" fontId="19" fillId="4" borderId="1" xfId="0" applyNumberFormat="1" applyFont="1" applyFill="1" applyBorder="1" applyAlignment="1">
      <alignment horizontal="center" vertical="center"/>
    </xf>
    <xf numFmtId="168" fontId="19" fillId="5" borderId="1" xfId="0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3" fillId="17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6B1E1E"/>
          <bgColor rgb="FF6B1E1E"/>
        </patternFill>
      </fill>
    </dxf>
    <dxf>
      <fill>
        <patternFill patternType="solid">
          <fgColor rgb="FF1E6B3C"/>
          <bgColor rgb="FF1E6B3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Nifty 50 Close — Full Period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Market_Data_Raw!$B$2</c:f>
              <c:strCache>
                <c:ptCount val="1"/>
                <c:pt idx="0">
                  <c:v>Nifty_Close</c:v>
                </c:pt>
              </c:strCache>
            </c:strRef>
          </c:tx>
          <c:spPr>
            <a:ln w="15000">
              <a:solidFill>
                <a:srgbClr val="2E86C1"/>
              </a:solidFill>
              <a:prstDash val="solid"/>
            </a:ln>
          </c:spPr>
          <c:marker>
            <c:symbol val="none"/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cat>
            <c:numRef>
              <c:f>Market_Data_Raw!$A$3:$A$252</c:f>
              <c:numCache>
                <c:formatCode>dd\-mmm\-yy</c:formatCode>
                <c:ptCount val="250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</c:numCache>
            </c:numRef>
          </c:cat>
          <c:val>
            <c:numRef>
              <c:f>Market_Data_Raw!$B$3:$B$252</c:f>
              <c:numCache>
                <c:formatCode>#,##0.00</c:formatCode>
                <c:ptCount val="250"/>
                <c:pt idx="0">
                  <c:v>24000</c:v>
                </c:pt>
                <c:pt idx="1">
                  <c:v>23979</c:v>
                </c:pt>
                <c:pt idx="2">
                  <c:v>24118.61</c:v>
                </c:pt>
                <c:pt idx="3">
                  <c:v>24440.2</c:v>
                </c:pt>
                <c:pt idx="4">
                  <c:v>24398.92</c:v>
                </c:pt>
                <c:pt idx="5">
                  <c:v>24357.72</c:v>
                </c:pt>
                <c:pt idx="6">
                  <c:v>24694.29</c:v>
                </c:pt>
                <c:pt idx="7">
                  <c:v>24863.360000000001</c:v>
                </c:pt>
                <c:pt idx="8">
                  <c:v>24771.77</c:v>
                </c:pt>
                <c:pt idx="9">
                  <c:v>24893.74</c:v>
                </c:pt>
                <c:pt idx="10">
                  <c:v>24803.32</c:v>
                </c:pt>
                <c:pt idx="11">
                  <c:v>24712.74</c:v>
                </c:pt>
                <c:pt idx="12">
                  <c:v>24771.05</c:v>
                </c:pt>
                <c:pt idx="13">
                  <c:v>24378.77</c:v>
                </c:pt>
                <c:pt idx="14">
                  <c:v>24031.15</c:v>
                </c:pt>
                <c:pt idx="15">
                  <c:v>23923.74</c:v>
                </c:pt>
                <c:pt idx="16">
                  <c:v>23725.78</c:v>
                </c:pt>
                <c:pt idx="17">
                  <c:v>23796.38</c:v>
                </c:pt>
                <c:pt idx="18">
                  <c:v>23620.51</c:v>
                </c:pt>
                <c:pt idx="19">
                  <c:v>23345.65</c:v>
                </c:pt>
                <c:pt idx="20">
                  <c:v>23645.4</c:v>
                </c:pt>
                <c:pt idx="21">
                  <c:v>23607.15</c:v>
                </c:pt>
                <c:pt idx="22">
                  <c:v>23627.79</c:v>
                </c:pt>
                <c:pt idx="23">
                  <c:v>23350.38</c:v>
                </c:pt>
                <c:pt idx="24">
                  <c:v>23249.56</c:v>
                </c:pt>
                <c:pt idx="25">
                  <c:v>23278.47</c:v>
                </c:pt>
                <c:pt idx="26">
                  <c:v>23058.75</c:v>
                </c:pt>
                <c:pt idx="27">
                  <c:v>23139.45</c:v>
                </c:pt>
                <c:pt idx="28">
                  <c:v>23028.52</c:v>
                </c:pt>
                <c:pt idx="29">
                  <c:v>22978.39</c:v>
                </c:pt>
                <c:pt idx="30">
                  <c:v>22868.03</c:v>
                </c:pt>
                <c:pt idx="31">
                  <c:v>23237.89</c:v>
                </c:pt>
                <c:pt idx="32">
                  <c:v>23242.2</c:v>
                </c:pt>
                <c:pt idx="33">
                  <c:v>23041.09</c:v>
                </c:pt>
                <c:pt idx="34">
                  <c:v>23209.71</c:v>
                </c:pt>
                <c:pt idx="35">
                  <c:v>22977</c:v>
                </c:pt>
                <c:pt idx="36">
                  <c:v>23024.73</c:v>
                </c:pt>
                <c:pt idx="37">
                  <c:v>22651.17</c:v>
                </c:pt>
                <c:pt idx="38">
                  <c:v>22403.61</c:v>
                </c:pt>
                <c:pt idx="39">
                  <c:v>22447.86</c:v>
                </c:pt>
                <c:pt idx="40">
                  <c:v>22595.99</c:v>
                </c:pt>
                <c:pt idx="41">
                  <c:v>22635.72</c:v>
                </c:pt>
                <c:pt idx="42">
                  <c:v>22620.26</c:v>
                </c:pt>
                <c:pt idx="43">
                  <c:v>22569.21</c:v>
                </c:pt>
                <c:pt idx="44">
                  <c:v>22294.03</c:v>
                </c:pt>
                <c:pt idx="45">
                  <c:v>22164.68</c:v>
                </c:pt>
                <c:pt idx="46">
                  <c:v>22084.69</c:v>
                </c:pt>
                <c:pt idx="47">
                  <c:v>22290.71</c:v>
                </c:pt>
                <c:pt idx="48">
                  <c:v>22362.62</c:v>
                </c:pt>
                <c:pt idx="49">
                  <c:v>22036.61</c:v>
                </c:pt>
                <c:pt idx="50">
                  <c:v>22104.03</c:v>
                </c:pt>
                <c:pt idx="51">
                  <c:v>22038.41</c:v>
                </c:pt>
                <c:pt idx="52">
                  <c:v>21918.54</c:v>
                </c:pt>
                <c:pt idx="53">
                  <c:v>22039.41</c:v>
                </c:pt>
                <c:pt idx="54">
                  <c:v>22240.07</c:v>
                </c:pt>
                <c:pt idx="55">
                  <c:v>22423.54</c:v>
                </c:pt>
                <c:pt idx="56">
                  <c:v>22270.83</c:v>
                </c:pt>
                <c:pt idx="57">
                  <c:v>22219.040000000001</c:v>
                </c:pt>
                <c:pt idx="58">
                  <c:v>22288.38</c:v>
                </c:pt>
                <c:pt idx="59">
                  <c:v>22480.71</c:v>
                </c:pt>
                <c:pt idx="60">
                  <c:v>22396.05</c:v>
                </c:pt>
                <c:pt idx="61">
                  <c:v>22367.439999999999</c:v>
                </c:pt>
                <c:pt idx="62">
                  <c:v>22164.73</c:v>
                </c:pt>
                <c:pt idx="63">
                  <c:v>21947.09</c:v>
                </c:pt>
                <c:pt idx="64">
                  <c:v>22105.82</c:v>
                </c:pt>
                <c:pt idx="65">
                  <c:v>22368.84</c:v>
                </c:pt>
                <c:pt idx="66">
                  <c:v>22361.86</c:v>
                </c:pt>
                <c:pt idx="67">
                  <c:v>22560.19</c:v>
                </c:pt>
                <c:pt idx="68">
                  <c:v>22636.43</c:v>
                </c:pt>
                <c:pt idx="69">
                  <c:v>22519.4</c:v>
                </c:pt>
                <c:pt idx="70">
                  <c:v>22595.46</c:v>
                </c:pt>
                <c:pt idx="71">
                  <c:v>22899.67</c:v>
                </c:pt>
                <c:pt idx="72">
                  <c:v>22899.57</c:v>
                </c:pt>
                <c:pt idx="73">
                  <c:v>23213.119999999999</c:v>
                </c:pt>
                <c:pt idx="74">
                  <c:v>22708.74</c:v>
                </c:pt>
                <c:pt idx="75">
                  <c:v>22874.799999999999</c:v>
                </c:pt>
                <c:pt idx="76">
                  <c:v>22898.6</c:v>
                </c:pt>
                <c:pt idx="77">
                  <c:v>22847.33</c:v>
                </c:pt>
                <c:pt idx="78">
                  <c:v>22872.02</c:v>
                </c:pt>
                <c:pt idx="79">
                  <c:v>22495.61</c:v>
                </c:pt>
                <c:pt idx="80">
                  <c:v>22460.38</c:v>
                </c:pt>
                <c:pt idx="81">
                  <c:v>22535.42</c:v>
                </c:pt>
                <c:pt idx="82">
                  <c:v>22827.14</c:v>
                </c:pt>
                <c:pt idx="83">
                  <c:v>22733.62</c:v>
                </c:pt>
                <c:pt idx="84">
                  <c:v>22584.7</c:v>
                </c:pt>
                <c:pt idx="85">
                  <c:v>22495.33</c:v>
                </c:pt>
                <c:pt idx="86">
                  <c:v>22677.85</c:v>
                </c:pt>
                <c:pt idx="87">
                  <c:v>22748.13</c:v>
                </c:pt>
                <c:pt idx="88">
                  <c:v>22652.720000000001</c:v>
                </c:pt>
                <c:pt idx="89">
                  <c:v>22758.59</c:v>
                </c:pt>
                <c:pt idx="90">
                  <c:v>22784.21</c:v>
                </c:pt>
                <c:pt idx="91">
                  <c:v>22979.47</c:v>
                </c:pt>
                <c:pt idx="92">
                  <c:v>22849.599999999999</c:v>
                </c:pt>
                <c:pt idx="93">
                  <c:v>22792.89</c:v>
                </c:pt>
                <c:pt idx="94">
                  <c:v>22723.87</c:v>
                </c:pt>
                <c:pt idx="95">
                  <c:v>22449.67</c:v>
                </c:pt>
                <c:pt idx="96">
                  <c:v>22513</c:v>
                </c:pt>
                <c:pt idx="97">
                  <c:v>22569.78</c:v>
                </c:pt>
                <c:pt idx="98">
                  <c:v>22577.53</c:v>
                </c:pt>
                <c:pt idx="99">
                  <c:v>22539.32</c:v>
                </c:pt>
                <c:pt idx="100">
                  <c:v>22276.46</c:v>
                </c:pt>
                <c:pt idx="101">
                  <c:v>22203.61</c:v>
                </c:pt>
                <c:pt idx="102">
                  <c:v>22145.67</c:v>
                </c:pt>
                <c:pt idx="103">
                  <c:v>22001.759999999998</c:v>
                </c:pt>
                <c:pt idx="104">
                  <c:v>21978.21</c:v>
                </c:pt>
                <c:pt idx="105">
                  <c:v>22060.44</c:v>
                </c:pt>
                <c:pt idx="106">
                  <c:v>22423.7</c:v>
                </c:pt>
                <c:pt idx="107">
                  <c:v>22463.74</c:v>
                </c:pt>
                <c:pt idx="108">
                  <c:v>22519.73</c:v>
                </c:pt>
                <c:pt idx="109">
                  <c:v>22512.240000000002</c:v>
                </c:pt>
                <c:pt idx="110">
                  <c:v>22154.7</c:v>
                </c:pt>
                <c:pt idx="111">
                  <c:v>22156.35</c:v>
                </c:pt>
                <c:pt idx="112">
                  <c:v>22174.35</c:v>
                </c:pt>
                <c:pt idx="113">
                  <c:v>22650.32</c:v>
                </c:pt>
                <c:pt idx="114">
                  <c:v>22620.1</c:v>
                </c:pt>
                <c:pt idx="115">
                  <c:v>22684.959999999999</c:v>
                </c:pt>
                <c:pt idx="116">
                  <c:v>22685.07</c:v>
                </c:pt>
                <c:pt idx="117">
                  <c:v>22467.58</c:v>
                </c:pt>
                <c:pt idx="118">
                  <c:v>22693.7</c:v>
                </c:pt>
                <c:pt idx="119">
                  <c:v>22846.06</c:v>
                </c:pt>
                <c:pt idx="120">
                  <c:v>23007.09</c:v>
                </c:pt>
                <c:pt idx="121">
                  <c:v>22836.79</c:v>
                </c:pt>
                <c:pt idx="122">
                  <c:v>23117.65</c:v>
                </c:pt>
                <c:pt idx="123">
                  <c:v>22850.68</c:v>
                </c:pt>
                <c:pt idx="124">
                  <c:v>22971.84</c:v>
                </c:pt>
                <c:pt idx="125">
                  <c:v>23410.58</c:v>
                </c:pt>
                <c:pt idx="126">
                  <c:v>23221.27</c:v>
                </c:pt>
                <c:pt idx="127">
                  <c:v>23116.7</c:v>
                </c:pt>
                <c:pt idx="128">
                  <c:v>23143.23</c:v>
                </c:pt>
                <c:pt idx="129">
                  <c:v>23051.31</c:v>
                </c:pt>
                <c:pt idx="130">
                  <c:v>22756.3</c:v>
                </c:pt>
                <c:pt idx="131">
                  <c:v>22776.400000000001</c:v>
                </c:pt>
                <c:pt idx="132">
                  <c:v>22578.44</c:v>
                </c:pt>
                <c:pt idx="133">
                  <c:v>22676.32</c:v>
                </c:pt>
                <c:pt idx="134">
                  <c:v>22506.54</c:v>
                </c:pt>
                <c:pt idx="135">
                  <c:v>22811.86</c:v>
                </c:pt>
                <c:pt idx="136">
                  <c:v>22667.29</c:v>
                </c:pt>
                <c:pt idx="137">
                  <c:v>22612.11</c:v>
                </c:pt>
                <c:pt idx="138">
                  <c:v>22775.84</c:v>
                </c:pt>
                <c:pt idx="139">
                  <c:v>22545.56</c:v>
                </c:pt>
                <c:pt idx="140">
                  <c:v>22595.97</c:v>
                </c:pt>
                <c:pt idx="141">
                  <c:v>22855.279999999999</c:v>
                </c:pt>
                <c:pt idx="142">
                  <c:v>22551.88</c:v>
                </c:pt>
                <c:pt idx="143">
                  <c:v>22594.080000000002</c:v>
                </c:pt>
                <c:pt idx="144">
                  <c:v>22650.84</c:v>
                </c:pt>
                <c:pt idx="145">
                  <c:v>22808.71</c:v>
                </c:pt>
                <c:pt idx="146">
                  <c:v>22576.93</c:v>
                </c:pt>
                <c:pt idx="147">
                  <c:v>22331.64</c:v>
                </c:pt>
                <c:pt idx="148">
                  <c:v>22437.66</c:v>
                </c:pt>
                <c:pt idx="149">
                  <c:v>22501.119999999999</c:v>
                </c:pt>
                <c:pt idx="150">
                  <c:v>22555.85</c:v>
                </c:pt>
                <c:pt idx="151">
                  <c:v>22629.16</c:v>
                </c:pt>
                <c:pt idx="152">
                  <c:v>22505.49</c:v>
                </c:pt>
                <c:pt idx="153">
                  <c:v>22556.73</c:v>
                </c:pt>
                <c:pt idx="154">
                  <c:v>22619.78</c:v>
                </c:pt>
                <c:pt idx="155">
                  <c:v>22489.59</c:v>
                </c:pt>
                <c:pt idx="156">
                  <c:v>22855.95</c:v>
                </c:pt>
                <c:pt idx="157">
                  <c:v>22955.08</c:v>
                </c:pt>
                <c:pt idx="158">
                  <c:v>22730.63</c:v>
                </c:pt>
                <c:pt idx="159">
                  <c:v>22864.7</c:v>
                </c:pt>
                <c:pt idx="160">
                  <c:v>22682.86</c:v>
                </c:pt>
                <c:pt idx="161">
                  <c:v>22841.97</c:v>
                </c:pt>
                <c:pt idx="162">
                  <c:v>23074.95</c:v>
                </c:pt>
                <c:pt idx="163">
                  <c:v>22921.42</c:v>
                </c:pt>
                <c:pt idx="164">
                  <c:v>23116.82</c:v>
                </c:pt>
                <c:pt idx="165">
                  <c:v>23205.03</c:v>
                </c:pt>
                <c:pt idx="166">
                  <c:v>23374.75</c:v>
                </c:pt>
                <c:pt idx="167">
                  <c:v>23761.8</c:v>
                </c:pt>
                <c:pt idx="168">
                  <c:v>23719.4</c:v>
                </c:pt>
                <c:pt idx="169">
                  <c:v>23574.99</c:v>
                </c:pt>
                <c:pt idx="170">
                  <c:v>23404.43</c:v>
                </c:pt>
                <c:pt idx="171">
                  <c:v>23249.67</c:v>
                </c:pt>
                <c:pt idx="172">
                  <c:v>23241.41</c:v>
                </c:pt>
                <c:pt idx="173">
                  <c:v>23315.9</c:v>
                </c:pt>
                <c:pt idx="174">
                  <c:v>23377.81</c:v>
                </c:pt>
                <c:pt idx="175">
                  <c:v>23549.82</c:v>
                </c:pt>
                <c:pt idx="176">
                  <c:v>23559.49</c:v>
                </c:pt>
                <c:pt idx="177">
                  <c:v>23859.53</c:v>
                </c:pt>
                <c:pt idx="178">
                  <c:v>23813.06</c:v>
                </c:pt>
                <c:pt idx="179">
                  <c:v>24377.38</c:v>
                </c:pt>
                <c:pt idx="180">
                  <c:v>24514.720000000001</c:v>
                </c:pt>
                <c:pt idx="181">
                  <c:v>24344.06</c:v>
                </c:pt>
                <c:pt idx="182">
                  <c:v>24130.71</c:v>
                </c:pt>
                <c:pt idx="183">
                  <c:v>24237.14</c:v>
                </c:pt>
                <c:pt idx="184">
                  <c:v>24198.41</c:v>
                </c:pt>
                <c:pt idx="185">
                  <c:v>24353.02</c:v>
                </c:pt>
                <c:pt idx="186">
                  <c:v>24458.51</c:v>
                </c:pt>
                <c:pt idx="187">
                  <c:v>24450.71</c:v>
                </c:pt>
                <c:pt idx="188">
                  <c:v>24282.639999999999</c:v>
                </c:pt>
                <c:pt idx="189">
                  <c:v>23979.17</c:v>
                </c:pt>
                <c:pt idx="190">
                  <c:v>23895.5</c:v>
                </c:pt>
                <c:pt idx="191">
                  <c:v>24077.3</c:v>
                </c:pt>
                <c:pt idx="192">
                  <c:v>24128.39</c:v>
                </c:pt>
                <c:pt idx="193">
                  <c:v>23881.41</c:v>
                </c:pt>
                <c:pt idx="194">
                  <c:v>23923.77</c:v>
                </c:pt>
                <c:pt idx="195">
                  <c:v>24009.46</c:v>
                </c:pt>
                <c:pt idx="196">
                  <c:v>23836.91</c:v>
                </c:pt>
                <c:pt idx="197">
                  <c:v>23875.24</c:v>
                </c:pt>
                <c:pt idx="198">
                  <c:v>23894.22</c:v>
                </c:pt>
                <c:pt idx="199">
                  <c:v>23670.31</c:v>
                </c:pt>
                <c:pt idx="200">
                  <c:v>23749.53</c:v>
                </c:pt>
                <c:pt idx="201">
                  <c:v>23870.17</c:v>
                </c:pt>
                <c:pt idx="202">
                  <c:v>24098.16</c:v>
                </c:pt>
                <c:pt idx="203">
                  <c:v>24322.28</c:v>
                </c:pt>
                <c:pt idx="204">
                  <c:v>24046.34</c:v>
                </c:pt>
                <c:pt idx="205">
                  <c:v>23862.57</c:v>
                </c:pt>
                <c:pt idx="206">
                  <c:v>23974.46</c:v>
                </c:pt>
                <c:pt idx="207">
                  <c:v>24086.61</c:v>
                </c:pt>
                <c:pt idx="208">
                  <c:v>24199.55</c:v>
                </c:pt>
                <c:pt idx="209">
                  <c:v>25012.66</c:v>
                </c:pt>
                <c:pt idx="210">
                  <c:v>25141.87</c:v>
                </c:pt>
                <c:pt idx="211">
                  <c:v>25393.34</c:v>
                </c:pt>
                <c:pt idx="212">
                  <c:v>25607.77</c:v>
                </c:pt>
                <c:pt idx="213">
                  <c:v>25757.68</c:v>
                </c:pt>
                <c:pt idx="214">
                  <c:v>25696.46</c:v>
                </c:pt>
                <c:pt idx="215">
                  <c:v>25870.53</c:v>
                </c:pt>
                <c:pt idx="216">
                  <c:v>25708.85</c:v>
                </c:pt>
                <c:pt idx="217">
                  <c:v>25664.85</c:v>
                </c:pt>
                <c:pt idx="218">
                  <c:v>25566.85</c:v>
                </c:pt>
                <c:pt idx="219">
                  <c:v>25592.33</c:v>
                </c:pt>
                <c:pt idx="220">
                  <c:v>26108.67</c:v>
                </c:pt>
                <c:pt idx="221">
                  <c:v>25705.26</c:v>
                </c:pt>
                <c:pt idx="222">
                  <c:v>25863.4</c:v>
                </c:pt>
                <c:pt idx="223">
                  <c:v>25518.94</c:v>
                </c:pt>
                <c:pt idx="224">
                  <c:v>25424.400000000001</c:v>
                </c:pt>
                <c:pt idx="225">
                  <c:v>25668.52</c:v>
                </c:pt>
                <c:pt idx="226">
                  <c:v>25690.25</c:v>
                </c:pt>
                <c:pt idx="227">
                  <c:v>25463.62</c:v>
                </c:pt>
                <c:pt idx="228">
                  <c:v>25316.86</c:v>
                </c:pt>
                <c:pt idx="229">
                  <c:v>25471.17</c:v>
                </c:pt>
                <c:pt idx="230">
                  <c:v>25321.13</c:v>
                </c:pt>
                <c:pt idx="231">
                  <c:v>25375.37</c:v>
                </c:pt>
                <c:pt idx="232">
                  <c:v>25392.82</c:v>
                </c:pt>
                <c:pt idx="233">
                  <c:v>25260.14</c:v>
                </c:pt>
                <c:pt idx="234">
                  <c:v>25732.41</c:v>
                </c:pt>
                <c:pt idx="235">
                  <c:v>25879.200000000001</c:v>
                </c:pt>
                <c:pt idx="236">
                  <c:v>25445.17</c:v>
                </c:pt>
                <c:pt idx="237">
                  <c:v>25493.18</c:v>
                </c:pt>
                <c:pt idx="238">
                  <c:v>25357.78</c:v>
                </c:pt>
                <c:pt idx="239">
                  <c:v>25549.85</c:v>
                </c:pt>
                <c:pt idx="240">
                  <c:v>25385.93</c:v>
                </c:pt>
                <c:pt idx="241">
                  <c:v>25368.79</c:v>
                </c:pt>
                <c:pt idx="242">
                  <c:v>25485.56</c:v>
                </c:pt>
                <c:pt idx="243">
                  <c:v>25681.5</c:v>
                </c:pt>
                <c:pt idx="244">
                  <c:v>25428.44</c:v>
                </c:pt>
                <c:pt idx="245">
                  <c:v>25363.85</c:v>
                </c:pt>
                <c:pt idx="246">
                  <c:v>25269.24</c:v>
                </c:pt>
                <c:pt idx="247">
                  <c:v>25136.84</c:v>
                </c:pt>
                <c:pt idx="248">
                  <c:v>25524.55</c:v>
                </c:pt>
                <c:pt idx="249">
                  <c:v>25620.25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5D4-45EB-A91F-CB305C924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Trading Day</a:t>
                </a:r>
              </a:p>
            </c:rich>
          </c:tx>
          <c:overlay val="1"/>
        </c:title>
        <c:numFmt formatCode="dd\-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Index Level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India VIX vs Log Returns (Risk-Return)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VIX vs Returns</c:v>
          </c:tx>
          <c:spPr>
            <a:ln>
              <a:noFill/>
              <a:prstDash val="solid"/>
            </a:ln>
          </c:spPr>
          <c:marker>
            <c:symbol val="circle"/>
            <c:size val="3"/>
            <c:spPr>
              <a:solidFill>
                <a:srgbClr val="E74C3C"/>
              </a:solidFill>
              <a:ln>
                <a:solidFill>
                  <a:srgbClr val="E74C3C"/>
                </a:solidFill>
                <a:prstDash val="solid"/>
              </a:ln>
            </c:spPr>
          </c:marker>
          <c:xVal>
            <c:numRef>
              <c:f>Market_Data_Raw!$C$3:$C$252</c:f>
              <c:numCache>
                <c:formatCode>0.00</c:formatCode>
                <c:ptCount val="250"/>
                <c:pt idx="0">
                  <c:v>19</c:v>
                </c:pt>
                <c:pt idx="1">
                  <c:v>17.41</c:v>
                </c:pt>
                <c:pt idx="2">
                  <c:v>18.559999999999999</c:v>
                </c:pt>
                <c:pt idx="3">
                  <c:v>21.06</c:v>
                </c:pt>
                <c:pt idx="4">
                  <c:v>22.05</c:v>
                </c:pt>
                <c:pt idx="5">
                  <c:v>19.899999999999999</c:v>
                </c:pt>
                <c:pt idx="6">
                  <c:v>19.170000000000002</c:v>
                </c:pt>
                <c:pt idx="7">
                  <c:v>20.6</c:v>
                </c:pt>
                <c:pt idx="8">
                  <c:v>19.54</c:v>
                </c:pt>
                <c:pt idx="9">
                  <c:v>19.95</c:v>
                </c:pt>
                <c:pt idx="10">
                  <c:v>20.72</c:v>
                </c:pt>
                <c:pt idx="11">
                  <c:v>19.39</c:v>
                </c:pt>
                <c:pt idx="12">
                  <c:v>19.21</c:v>
                </c:pt>
                <c:pt idx="13">
                  <c:v>15.22</c:v>
                </c:pt>
                <c:pt idx="14">
                  <c:v>14.21</c:v>
                </c:pt>
                <c:pt idx="15">
                  <c:v>14.21</c:v>
                </c:pt>
                <c:pt idx="16">
                  <c:v>13.02</c:v>
                </c:pt>
                <c:pt idx="17">
                  <c:v>15.38</c:v>
                </c:pt>
                <c:pt idx="18">
                  <c:v>13.87</c:v>
                </c:pt>
                <c:pt idx="19">
                  <c:v>13.67</c:v>
                </c:pt>
                <c:pt idx="20">
                  <c:v>14.17</c:v>
                </c:pt>
                <c:pt idx="21">
                  <c:v>16.21</c:v>
                </c:pt>
                <c:pt idx="22">
                  <c:v>14.63</c:v>
                </c:pt>
                <c:pt idx="23">
                  <c:v>16.3</c:v>
                </c:pt>
                <c:pt idx="24">
                  <c:v>16.45</c:v>
                </c:pt>
                <c:pt idx="25">
                  <c:v>15.4</c:v>
                </c:pt>
                <c:pt idx="26">
                  <c:v>16.16</c:v>
                </c:pt>
                <c:pt idx="27">
                  <c:v>16.55</c:v>
                </c:pt>
                <c:pt idx="28">
                  <c:v>15.95</c:v>
                </c:pt>
                <c:pt idx="29">
                  <c:v>16.2</c:v>
                </c:pt>
                <c:pt idx="30">
                  <c:v>15.88</c:v>
                </c:pt>
                <c:pt idx="31">
                  <c:v>16.190000000000001</c:v>
                </c:pt>
                <c:pt idx="32">
                  <c:v>17.13</c:v>
                </c:pt>
                <c:pt idx="33">
                  <c:v>19.100000000000001</c:v>
                </c:pt>
                <c:pt idx="34">
                  <c:v>17.53</c:v>
                </c:pt>
                <c:pt idx="35">
                  <c:v>20.13</c:v>
                </c:pt>
                <c:pt idx="36">
                  <c:v>17.62</c:v>
                </c:pt>
                <c:pt idx="37">
                  <c:v>17.47</c:v>
                </c:pt>
                <c:pt idx="38">
                  <c:v>18.22</c:v>
                </c:pt>
                <c:pt idx="39">
                  <c:v>18.54</c:v>
                </c:pt>
                <c:pt idx="40">
                  <c:v>17.75</c:v>
                </c:pt>
                <c:pt idx="41">
                  <c:v>17.52</c:v>
                </c:pt>
                <c:pt idx="42">
                  <c:v>16.97</c:v>
                </c:pt>
                <c:pt idx="43">
                  <c:v>16.350000000000001</c:v>
                </c:pt>
                <c:pt idx="44">
                  <c:v>17.5</c:v>
                </c:pt>
                <c:pt idx="45">
                  <c:v>17.97</c:v>
                </c:pt>
                <c:pt idx="46">
                  <c:v>17.14</c:v>
                </c:pt>
                <c:pt idx="47">
                  <c:v>18.29</c:v>
                </c:pt>
                <c:pt idx="48">
                  <c:v>18.64</c:v>
                </c:pt>
                <c:pt idx="49">
                  <c:v>19.559999999999999</c:v>
                </c:pt>
                <c:pt idx="50">
                  <c:v>20.190000000000001</c:v>
                </c:pt>
                <c:pt idx="51">
                  <c:v>19.02</c:v>
                </c:pt>
                <c:pt idx="52">
                  <c:v>18.27</c:v>
                </c:pt>
                <c:pt idx="53">
                  <c:v>19.149999999999999</c:v>
                </c:pt>
                <c:pt idx="54">
                  <c:v>19.79</c:v>
                </c:pt>
                <c:pt idx="55">
                  <c:v>19.62</c:v>
                </c:pt>
                <c:pt idx="56">
                  <c:v>19.63</c:v>
                </c:pt>
                <c:pt idx="57">
                  <c:v>21.03</c:v>
                </c:pt>
                <c:pt idx="58">
                  <c:v>20.079999999999998</c:v>
                </c:pt>
                <c:pt idx="59">
                  <c:v>20.57</c:v>
                </c:pt>
                <c:pt idx="60">
                  <c:v>20.12</c:v>
                </c:pt>
                <c:pt idx="61">
                  <c:v>19.690000000000001</c:v>
                </c:pt>
                <c:pt idx="62">
                  <c:v>20.87</c:v>
                </c:pt>
                <c:pt idx="63">
                  <c:v>21.63</c:v>
                </c:pt>
                <c:pt idx="64">
                  <c:v>22.32</c:v>
                </c:pt>
                <c:pt idx="65">
                  <c:v>23.54</c:v>
                </c:pt>
                <c:pt idx="66">
                  <c:v>23.12</c:v>
                </c:pt>
                <c:pt idx="67">
                  <c:v>23.53</c:v>
                </c:pt>
                <c:pt idx="68">
                  <c:v>22.72</c:v>
                </c:pt>
                <c:pt idx="69">
                  <c:v>22.73</c:v>
                </c:pt>
                <c:pt idx="70">
                  <c:v>22.2</c:v>
                </c:pt>
                <c:pt idx="71">
                  <c:v>21.98</c:v>
                </c:pt>
                <c:pt idx="72">
                  <c:v>22.38</c:v>
                </c:pt>
                <c:pt idx="73">
                  <c:v>21.05</c:v>
                </c:pt>
                <c:pt idx="74">
                  <c:v>23.32</c:v>
                </c:pt>
                <c:pt idx="75">
                  <c:v>21.69</c:v>
                </c:pt>
                <c:pt idx="76">
                  <c:v>19.940000000000001</c:v>
                </c:pt>
                <c:pt idx="77">
                  <c:v>21.17</c:v>
                </c:pt>
                <c:pt idx="78">
                  <c:v>21.87</c:v>
                </c:pt>
                <c:pt idx="79">
                  <c:v>22.31</c:v>
                </c:pt>
                <c:pt idx="80">
                  <c:v>22.72</c:v>
                </c:pt>
                <c:pt idx="81">
                  <c:v>22.33</c:v>
                </c:pt>
                <c:pt idx="82">
                  <c:v>20.91</c:v>
                </c:pt>
                <c:pt idx="83">
                  <c:v>20.77</c:v>
                </c:pt>
                <c:pt idx="84">
                  <c:v>19.739999999999998</c:v>
                </c:pt>
                <c:pt idx="85">
                  <c:v>20.77</c:v>
                </c:pt>
                <c:pt idx="86">
                  <c:v>20.37</c:v>
                </c:pt>
                <c:pt idx="87">
                  <c:v>19.190000000000001</c:v>
                </c:pt>
                <c:pt idx="88">
                  <c:v>18.71</c:v>
                </c:pt>
                <c:pt idx="89">
                  <c:v>19.149999999999999</c:v>
                </c:pt>
                <c:pt idx="90">
                  <c:v>18.38</c:v>
                </c:pt>
                <c:pt idx="91">
                  <c:v>17.36</c:v>
                </c:pt>
                <c:pt idx="92">
                  <c:v>17.7</c:v>
                </c:pt>
                <c:pt idx="93">
                  <c:v>18.02</c:v>
                </c:pt>
                <c:pt idx="94">
                  <c:v>17.41</c:v>
                </c:pt>
                <c:pt idx="95">
                  <c:v>16.89</c:v>
                </c:pt>
                <c:pt idx="96">
                  <c:v>17.260000000000002</c:v>
                </c:pt>
                <c:pt idx="97">
                  <c:v>15.58</c:v>
                </c:pt>
                <c:pt idx="98">
                  <c:v>14.08</c:v>
                </c:pt>
                <c:pt idx="99">
                  <c:v>13.53</c:v>
                </c:pt>
                <c:pt idx="100">
                  <c:v>13.63</c:v>
                </c:pt>
                <c:pt idx="101">
                  <c:v>14.35</c:v>
                </c:pt>
                <c:pt idx="102">
                  <c:v>16.41</c:v>
                </c:pt>
                <c:pt idx="103">
                  <c:v>17.57</c:v>
                </c:pt>
                <c:pt idx="104">
                  <c:v>17.41</c:v>
                </c:pt>
                <c:pt idx="105">
                  <c:v>17.43</c:v>
                </c:pt>
                <c:pt idx="106">
                  <c:v>16.27</c:v>
                </c:pt>
                <c:pt idx="107">
                  <c:v>16.39</c:v>
                </c:pt>
                <c:pt idx="108">
                  <c:v>16.170000000000002</c:v>
                </c:pt>
                <c:pt idx="109">
                  <c:v>16.7</c:v>
                </c:pt>
                <c:pt idx="110">
                  <c:v>15.81</c:v>
                </c:pt>
                <c:pt idx="111">
                  <c:v>16.61</c:v>
                </c:pt>
                <c:pt idx="112">
                  <c:v>18.559999999999999</c:v>
                </c:pt>
                <c:pt idx="113">
                  <c:v>18.38</c:v>
                </c:pt>
                <c:pt idx="114">
                  <c:v>18.829999999999998</c:v>
                </c:pt>
                <c:pt idx="115">
                  <c:v>19.59</c:v>
                </c:pt>
                <c:pt idx="116">
                  <c:v>18.98</c:v>
                </c:pt>
                <c:pt idx="117">
                  <c:v>19.170000000000002</c:v>
                </c:pt>
                <c:pt idx="118">
                  <c:v>19.09</c:v>
                </c:pt>
                <c:pt idx="119">
                  <c:v>19.12</c:v>
                </c:pt>
                <c:pt idx="120">
                  <c:v>18.100000000000001</c:v>
                </c:pt>
                <c:pt idx="121">
                  <c:v>18.12</c:v>
                </c:pt>
                <c:pt idx="122">
                  <c:v>18.71</c:v>
                </c:pt>
                <c:pt idx="123">
                  <c:v>20.39</c:v>
                </c:pt>
                <c:pt idx="124">
                  <c:v>21.35</c:v>
                </c:pt>
                <c:pt idx="125">
                  <c:v>23.67</c:v>
                </c:pt>
                <c:pt idx="126">
                  <c:v>22.3</c:v>
                </c:pt>
                <c:pt idx="127">
                  <c:v>23</c:v>
                </c:pt>
                <c:pt idx="128">
                  <c:v>22.82</c:v>
                </c:pt>
                <c:pt idx="129">
                  <c:v>25.06</c:v>
                </c:pt>
                <c:pt idx="130">
                  <c:v>23.53</c:v>
                </c:pt>
                <c:pt idx="131">
                  <c:v>22.08</c:v>
                </c:pt>
                <c:pt idx="132">
                  <c:v>21.03</c:v>
                </c:pt>
                <c:pt idx="133">
                  <c:v>18.239999999999998</c:v>
                </c:pt>
                <c:pt idx="134">
                  <c:v>17.59</c:v>
                </c:pt>
                <c:pt idx="135">
                  <c:v>16.71</c:v>
                </c:pt>
                <c:pt idx="136">
                  <c:v>16.989999999999998</c:v>
                </c:pt>
                <c:pt idx="137">
                  <c:v>17.48</c:v>
                </c:pt>
                <c:pt idx="138">
                  <c:v>19.77</c:v>
                </c:pt>
                <c:pt idx="139">
                  <c:v>20.77</c:v>
                </c:pt>
                <c:pt idx="140">
                  <c:v>19.86</c:v>
                </c:pt>
                <c:pt idx="141">
                  <c:v>18.63</c:v>
                </c:pt>
                <c:pt idx="142">
                  <c:v>19.170000000000002</c:v>
                </c:pt>
                <c:pt idx="143">
                  <c:v>17.489999999999998</c:v>
                </c:pt>
                <c:pt idx="144">
                  <c:v>19.73</c:v>
                </c:pt>
                <c:pt idx="145">
                  <c:v>21.01</c:v>
                </c:pt>
                <c:pt idx="146">
                  <c:v>20.21</c:v>
                </c:pt>
                <c:pt idx="147">
                  <c:v>17.98</c:v>
                </c:pt>
                <c:pt idx="148">
                  <c:v>19.61</c:v>
                </c:pt>
                <c:pt idx="149">
                  <c:v>19.34</c:v>
                </c:pt>
                <c:pt idx="150">
                  <c:v>20.72</c:v>
                </c:pt>
                <c:pt idx="151">
                  <c:v>18.59</c:v>
                </c:pt>
                <c:pt idx="152">
                  <c:v>17.82</c:v>
                </c:pt>
                <c:pt idx="153">
                  <c:v>17.84</c:v>
                </c:pt>
                <c:pt idx="154">
                  <c:v>17.91</c:v>
                </c:pt>
                <c:pt idx="155">
                  <c:v>17.38</c:v>
                </c:pt>
                <c:pt idx="156">
                  <c:v>18.18</c:v>
                </c:pt>
                <c:pt idx="157">
                  <c:v>16.88</c:v>
                </c:pt>
                <c:pt idx="158">
                  <c:v>16.8</c:v>
                </c:pt>
                <c:pt idx="159">
                  <c:v>17.04</c:v>
                </c:pt>
                <c:pt idx="160">
                  <c:v>17.73</c:v>
                </c:pt>
                <c:pt idx="161">
                  <c:v>18.61</c:v>
                </c:pt>
                <c:pt idx="162">
                  <c:v>17.21</c:v>
                </c:pt>
                <c:pt idx="163">
                  <c:v>15.43</c:v>
                </c:pt>
                <c:pt idx="164">
                  <c:v>17.170000000000002</c:v>
                </c:pt>
                <c:pt idx="165">
                  <c:v>17.64</c:v>
                </c:pt>
                <c:pt idx="166">
                  <c:v>16.77</c:v>
                </c:pt>
                <c:pt idx="167">
                  <c:v>18.73</c:v>
                </c:pt>
                <c:pt idx="168">
                  <c:v>18.809999999999999</c:v>
                </c:pt>
                <c:pt idx="169">
                  <c:v>20.16</c:v>
                </c:pt>
                <c:pt idx="170">
                  <c:v>20.07</c:v>
                </c:pt>
                <c:pt idx="171">
                  <c:v>22.38</c:v>
                </c:pt>
                <c:pt idx="172">
                  <c:v>24.14</c:v>
                </c:pt>
                <c:pt idx="173">
                  <c:v>23.35</c:v>
                </c:pt>
                <c:pt idx="174">
                  <c:v>24.09</c:v>
                </c:pt>
                <c:pt idx="175">
                  <c:v>24.38</c:v>
                </c:pt>
                <c:pt idx="176">
                  <c:v>25.51</c:v>
                </c:pt>
                <c:pt idx="177">
                  <c:v>23.75</c:v>
                </c:pt>
                <c:pt idx="178">
                  <c:v>24.11</c:v>
                </c:pt>
                <c:pt idx="179">
                  <c:v>24.89</c:v>
                </c:pt>
                <c:pt idx="180">
                  <c:v>22.23</c:v>
                </c:pt>
                <c:pt idx="181">
                  <c:v>20.47</c:v>
                </c:pt>
                <c:pt idx="182">
                  <c:v>17.829999999999998</c:v>
                </c:pt>
                <c:pt idx="183">
                  <c:v>17.52</c:v>
                </c:pt>
                <c:pt idx="184">
                  <c:v>18.420000000000002</c:v>
                </c:pt>
                <c:pt idx="185">
                  <c:v>20.190000000000001</c:v>
                </c:pt>
                <c:pt idx="186">
                  <c:v>20.100000000000001</c:v>
                </c:pt>
                <c:pt idx="187">
                  <c:v>21.89</c:v>
                </c:pt>
                <c:pt idx="188">
                  <c:v>19.920000000000002</c:v>
                </c:pt>
                <c:pt idx="189">
                  <c:v>17.72</c:v>
                </c:pt>
                <c:pt idx="190">
                  <c:v>17.68</c:v>
                </c:pt>
                <c:pt idx="191">
                  <c:v>18.170000000000002</c:v>
                </c:pt>
                <c:pt idx="192">
                  <c:v>18.12</c:v>
                </c:pt>
                <c:pt idx="193">
                  <c:v>15.63</c:v>
                </c:pt>
                <c:pt idx="194">
                  <c:v>15.71</c:v>
                </c:pt>
                <c:pt idx="195">
                  <c:v>14.33</c:v>
                </c:pt>
                <c:pt idx="196">
                  <c:v>15.43</c:v>
                </c:pt>
                <c:pt idx="197">
                  <c:v>16.079999999999998</c:v>
                </c:pt>
                <c:pt idx="198">
                  <c:v>15.11</c:v>
                </c:pt>
                <c:pt idx="199">
                  <c:v>14.72</c:v>
                </c:pt>
                <c:pt idx="200">
                  <c:v>13.71</c:v>
                </c:pt>
                <c:pt idx="201">
                  <c:v>13.98</c:v>
                </c:pt>
                <c:pt idx="202">
                  <c:v>15.45</c:v>
                </c:pt>
                <c:pt idx="203">
                  <c:v>14.47</c:v>
                </c:pt>
                <c:pt idx="204">
                  <c:v>15.36</c:v>
                </c:pt>
                <c:pt idx="205">
                  <c:v>14.93</c:v>
                </c:pt>
                <c:pt idx="206">
                  <c:v>14.22</c:v>
                </c:pt>
                <c:pt idx="207">
                  <c:v>14.39</c:v>
                </c:pt>
                <c:pt idx="208">
                  <c:v>13.44</c:v>
                </c:pt>
                <c:pt idx="209">
                  <c:v>13.14</c:v>
                </c:pt>
                <c:pt idx="210">
                  <c:v>12.09</c:v>
                </c:pt>
                <c:pt idx="211">
                  <c:v>14.92</c:v>
                </c:pt>
                <c:pt idx="212">
                  <c:v>15.21</c:v>
                </c:pt>
                <c:pt idx="213">
                  <c:v>14.59</c:v>
                </c:pt>
                <c:pt idx="214">
                  <c:v>15.12</c:v>
                </c:pt>
                <c:pt idx="215">
                  <c:v>15.22</c:v>
                </c:pt>
                <c:pt idx="216">
                  <c:v>15.18</c:v>
                </c:pt>
                <c:pt idx="217">
                  <c:v>16.14</c:v>
                </c:pt>
                <c:pt idx="218">
                  <c:v>17.2</c:v>
                </c:pt>
                <c:pt idx="219">
                  <c:v>16.63</c:v>
                </c:pt>
                <c:pt idx="220">
                  <c:v>16.05</c:v>
                </c:pt>
                <c:pt idx="221">
                  <c:v>15.88</c:v>
                </c:pt>
                <c:pt idx="222">
                  <c:v>13.29</c:v>
                </c:pt>
                <c:pt idx="223">
                  <c:v>11.85</c:v>
                </c:pt>
                <c:pt idx="224">
                  <c:v>13.98</c:v>
                </c:pt>
                <c:pt idx="225">
                  <c:v>16.28</c:v>
                </c:pt>
                <c:pt idx="226">
                  <c:v>16.12</c:v>
                </c:pt>
                <c:pt idx="227">
                  <c:v>16.96</c:v>
                </c:pt>
                <c:pt idx="228">
                  <c:v>17.420000000000002</c:v>
                </c:pt>
                <c:pt idx="229">
                  <c:v>21.16</c:v>
                </c:pt>
                <c:pt idx="230">
                  <c:v>22.25</c:v>
                </c:pt>
                <c:pt idx="231">
                  <c:v>21.76</c:v>
                </c:pt>
                <c:pt idx="232">
                  <c:v>20.309999999999999</c:v>
                </c:pt>
                <c:pt idx="233">
                  <c:v>18.2</c:v>
                </c:pt>
                <c:pt idx="234">
                  <c:v>18.43</c:v>
                </c:pt>
                <c:pt idx="235">
                  <c:v>17.489999999999998</c:v>
                </c:pt>
                <c:pt idx="236">
                  <c:v>15.82</c:v>
                </c:pt>
                <c:pt idx="237">
                  <c:v>15.22</c:v>
                </c:pt>
                <c:pt idx="238">
                  <c:v>14.14</c:v>
                </c:pt>
                <c:pt idx="239">
                  <c:v>16.47</c:v>
                </c:pt>
                <c:pt idx="240">
                  <c:v>17.649999999999999</c:v>
                </c:pt>
                <c:pt idx="241">
                  <c:v>17.670000000000002</c:v>
                </c:pt>
                <c:pt idx="242">
                  <c:v>19.47</c:v>
                </c:pt>
                <c:pt idx="243">
                  <c:v>19.45</c:v>
                </c:pt>
                <c:pt idx="244">
                  <c:v>18.3</c:v>
                </c:pt>
                <c:pt idx="245">
                  <c:v>20.100000000000001</c:v>
                </c:pt>
                <c:pt idx="246">
                  <c:v>20.58</c:v>
                </c:pt>
                <c:pt idx="247">
                  <c:v>19.13</c:v>
                </c:pt>
                <c:pt idx="248">
                  <c:v>18.809999999999999</c:v>
                </c:pt>
                <c:pt idx="249">
                  <c:v>17.690000000000001</c:v>
                </c:pt>
              </c:numCache>
            </c:numRef>
          </c:xVal>
          <c:yVal>
            <c:numRef>
              <c:f>Quantitative_Model!$C$4:$C$252</c:f>
              <c:numCache>
                <c:formatCode>0.000000</c:formatCode>
                <c:ptCount val="249"/>
                <c:pt idx="0">
                  <c:v>-8.753830359538988E-4</c:v>
                </c:pt>
                <c:pt idx="1">
                  <c:v>5.8052943623595173E-3</c:v>
                </c:pt>
                <c:pt idx="2">
                  <c:v>1.3245575901616041E-2</c:v>
                </c:pt>
                <c:pt idx="3">
                  <c:v>-1.6904485514973575E-3</c:v>
                </c:pt>
                <c:pt idx="4">
                  <c:v>-1.6900266222713192E-3</c:v>
                </c:pt>
                <c:pt idx="5">
                  <c:v>1.3723200417815658E-2</c:v>
                </c:pt>
                <c:pt idx="6">
                  <c:v>6.8231910082026644E-3</c:v>
                </c:pt>
                <c:pt idx="7">
                  <c:v>-3.6905354717525034E-3</c:v>
                </c:pt>
                <c:pt idx="8">
                  <c:v>4.911667884016634E-3</c:v>
                </c:pt>
                <c:pt idx="9">
                  <c:v>-3.6388510617208422E-3</c:v>
                </c:pt>
                <c:pt idx="10">
                  <c:v>-3.6586150448125799E-3</c:v>
                </c:pt>
                <c:pt idx="11">
                  <c:v>2.3567324567790493E-3</c:v>
                </c:pt>
                <c:pt idx="12">
                  <c:v>-1.5962960999804727E-2</c:v>
                </c:pt>
                <c:pt idx="13">
                  <c:v>-1.436176614203682E-2</c:v>
                </c:pt>
                <c:pt idx="14">
                  <c:v>-4.4796340734969704E-3</c:v>
                </c:pt>
                <c:pt idx="15">
                  <c:v>-8.3090507074949395E-3</c:v>
                </c:pt>
                <c:pt idx="16">
                  <c:v>2.9712476006939974E-3</c:v>
                </c:pt>
                <c:pt idx="17">
                  <c:v>-7.4180658611764294E-3</c:v>
                </c:pt>
                <c:pt idx="18">
                  <c:v>-1.170473115087892E-2</c:v>
                </c:pt>
                <c:pt idx="19">
                  <c:v>1.275792159196815E-2</c:v>
                </c:pt>
                <c:pt idx="20">
                  <c:v>-1.6189606002023165E-3</c:v>
                </c:pt>
                <c:pt idx="21">
                  <c:v>8.7392939691068245E-4</c:v>
                </c:pt>
                <c:pt idx="22">
                  <c:v>-1.1810303572787478E-2</c:v>
                </c:pt>
                <c:pt idx="23">
                  <c:v>-4.3270509493129631E-3</c:v>
                </c:pt>
                <c:pt idx="24">
                  <c:v>1.2426919308827307E-3</c:v>
                </c:pt>
                <c:pt idx="25">
                  <c:v>-9.4835921003382992E-3</c:v>
                </c:pt>
                <c:pt idx="26">
                  <c:v>3.4936461629412729E-3</c:v>
                </c:pt>
                <c:pt idx="27">
                  <c:v>-4.8055053524928377E-3</c:v>
                </c:pt>
                <c:pt idx="28">
                  <c:v>-2.179238720413426E-3</c:v>
                </c:pt>
                <c:pt idx="29">
                  <c:v>-4.814343765964387E-3</c:v>
                </c:pt>
                <c:pt idx="30">
                  <c:v>1.6044270845786118E-2</c:v>
                </c:pt>
                <c:pt idx="31">
                  <c:v>1.8545575158546439E-4</c:v>
                </c:pt>
                <c:pt idx="32">
                  <c:v>-8.6904481386629578E-3</c:v>
                </c:pt>
                <c:pt idx="33">
                  <c:v>7.2915818574653506E-3</c:v>
                </c:pt>
                <c:pt idx="34">
                  <c:v>-1.0077009998330791E-2</c:v>
                </c:pt>
                <c:pt idx="35">
                  <c:v>2.0751400926850259E-3</c:v>
                </c:pt>
                <c:pt idx="36">
                  <c:v>-1.635734946417515E-2</c:v>
                </c:pt>
                <c:pt idx="37">
                  <c:v>-1.0989399633788829E-2</c:v>
                </c:pt>
                <c:pt idx="38">
                  <c:v>1.9731801145897628E-3</c:v>
                </c:pt>
                <c:pt idx="39">
                  <c:v>6.5771702018364801E-3</c:v>
                </c:pt>
                <c:pt idx="40">
                  <c:v>1.7567326204377962E-3</c:v>
                </c:pt>
                <c:pt idx="41">
                  <c:v>-6.8322465236158409E-4</c:v>
                </c:pt>
                <c:pt idx="42">
                  <c:v>-2.2593768732671474E-3</c:v>
                </c:pt>
                <c:pt idx="43">
                  <c:v>-1.2267658381456992E-2</c:v>
                </c:pt>
                <c:pt idx="44">
                  <c:v>-5.818898702992987E-3</c:v>
                </c:pt>
                <c:pt idx="45">
                  <c:v>-3.6154226435748901E-3</c:v>
                </c:pt>
                <c:pt idx="46">
                  <c:v>9.2853914658000327E-3</c:v>
                </c:pt>
                <c:pt idx="47">
                  <c:v>3.2208152074702065E-3</c:v>
                </c:pt>
                <c:pt idx="48">
                  <c:v>-1.4685653744486061E-2</c:v>
                </c:pt>
                <c:pt idx="49">
                  <c:v>3.0547836383256247E-3</c:v>
                </c:pt>
                <c:pt idx="50">
                  <c:v>-2.9731047190192711E-3</c:v>
                </c:pt>
                <c:pt idx="51">
                  <c:v>-5.4539860994562619E-3</c:v>
                </c:pt>
                <c:pt idx="52">
                  <c:v>5.4993603942907112E-3</c:v>
                </c:pt>
                <c:pt idx="53">
                  <c:v>9.0634024430205316E-3</c:v>
                </c:pt>
                <c:pt idx="54">
                  <c:v>8.2156830573513855E-3</c:v>
                </c:pt>
                <c:pt idx="55">
                  <c:v>-6.833549472242093E-3</c:v>
                </c:pt>
                <c:pt idx="56">
                  <c:v>-2.3281714868335253E-3</c:v>
                </c:pt>
                <c:pt idx="57">
                  <c:v>3.115887467771165E-3</c:v>
                </c:pt>
                <c:pt idx="58">
                  <c:v>8.5921417311417125E-3</c:v>
                </c:pt>
                <c:pt idx="59">
                  <c:v>-3.7730041309511756E-3</c:v>
                </c:pt>
                <c:pt idx="60">
                  <c:v>-1.2782740530593918E-3</c:v>
                </c:pt>
                <c:pt idx="61">
                  <c:v>-9.1040432168172855E-3</c:v>
                </c:pt>
                <c:pt idx="62">
                  <c:v>-9.8677300552273226E-3</c:v>
                </c:pt>
                <c:pt idx="63">
                  <c:v>7.2063655693132582E-3</c:v>
                </c:pt>
                <c:pt idx="64">
                  <c:v>1.1827996724458655E-2</c:v>
                </c:pt>
                <c:pt idx="65">
                  <c:v>-3.1208990946506986E-4</c:v>
                </c:pt>
                <c:pt idx="66">
                  <c:v>8.8300194953261375E-3</c:v>
                </c:pt>
                <c:pt idx="67">
                  <c:v>3.373706808738297E-3</c:v>
                </c:pt>
                <c:pt idx="68">
                  <c:v>-5.1833954564022826E-3</c:v>
                </c:pt>
                <c:pt idx="69">
                  <c:v>3.3718412098576473E-3</c:v>
                </c:pt>
                <c:pt idx="70">
                  <c:v>1.3373498833609967E-2</c:v>
                </c:pt>
                <c:pt idx="71">
                  <c:v>-4.3668846906416476E-6</c:v>
                </c:pt>
                <c:pt idx="72">
                  <c:v>1.3599502977706915E-2</c:v>
                </c:pt>
                <c:pt idx="73">
                  <c:v>-2.1967763657200507E-2</c:v>
                </c:pt>
                <c:pt idx="74">
                  <c:v>7.2859955421359472E-3</c:v>
                </c:pt>
                <c:pt idx="75">
                  <c:v>1.0399053662075494E-3</c:v>
                </c:pt>
                <c:pt idx="76">
                  <c:v>-2.2415118226534782E-3</c:v>
                </c:pt>
                <c:pt idx="77">
                  <c:v>1.0800679537292719E-3</c:v>
                </c:pt>
                <c:pt idx="78">
                  <c:v>-1.6594150388633492E-2</c:v>
                </c:pt>
                <c:pt idx="79">
                  <c:v>-1.567310928388759E-3</c:v>
                </c:pt>
                <c:pt idx="80">
                  <c:v>3.3354255094347443E-3</c:v>
                </c:pt>
                <c:pt idx="81">
                  <c:v>1.2861885288037479E-2</c:v>
                </c:pt>
                <c:pt idx="82">
                  <c:v>-4.105292859221692E-3</c:v>
                </c:pt>
                <c:pt idx="83">
                  <c:v>-6.5722002066653509E-3</c:v>
                </c:pt>
                <c:pt idx="84">
                  <c:v>-3.9649537536270915E-3</c:v>
                </c:pt>
                <c:pt idx="85">
                  <c:v>8.0809450757006324E-3</c:v>
                </c:pt>
                <c:pt idx="86">
                  <c:v>3.0942670284529908E-3</c:v>
                </c:pt>
                <c:pt idx="87">
                  <c:v>-4.2030111970960517E-3</c:v>
                </c:pt>
                <c:pt idx="88">
                  <c:v>4.6627235289983301E-3</c:v>
                </c:pt>
                <c:pt idx="89">
                  <c:v>1.1250956332313942E-3</c:v>
                </c:pt>
                <c:pt idx="90">
                  <c:v>8.5334564396637967E-3</c:v>
                </c:pt>
                <c:pt idx="91">
                  <c:v>-5.6675969046032799E-3</c:v>
                </c:pt>
                <c:pt idx="92">
                  <c:v>-2.484966494259807E-3</c:v>
                </c:pt>
                <c:pt idx="93">
                  <c:v>-3.0327313675539793E-3</c:v>
                </c:pt>
                <c:pt idx="94">
                  <c:v>-1.2139999106339387E-2</c:v>
                </c:pt>
                <c:pt idx="95">
                  <c:v>2.8170053904583939E-3</c:v>
                </c:pt>
                <c:pt idx="96">
                  <c:v>2.5189231907304459E-3</c:v>
                </c:pt>
                <c:pt idx="97">
                  <c:v>3.4332056887219315E-4</c:v>
                </c:pt>
                <c:pt idx="98">
                  <c:v>-1.6938243310648737E-3</c:v>
                </c:pt>
                <c:pt idx="99">
                  <c:v>-1.1730824026226274E-2</c:v>
                </c:pt>
                <c:pt idx="100">
                  <c:v>-3.2756272702994284E-3</c:v>
                </c:pt>
                <c:pt idx="101">
                  <c:v>-2.6128962167649276E-3</c:v>
                </c:pt>
                <c:pt idx="102">
                  <c:v>-6.5195418955973005E-3</c:v>
                </c:pt>
                <c:pt idx="103">
                  <c:v>-1.0709421698479786E-3</c:v>
                </c:pt>
                <c:pt idx="104">
                  <c:v>3.7344512407080895E-3</c:v>
                </c:pt>
                <c:pt idx="105">
                  <c:v>1.6332476020636259E-2</c:v>
                </c:pt>
                <c:pt idx="106">
                  <c:v>1.7840184523635304E-3</c:v>
                </c:pt>
                <c:pt idx="107">
                  <c:v>2.4893601544639728E-3</c:v>
                </c:pt>
                <c:pt idx="108">
                  <c:v>-3.3265256079473927E-4</c:v>
                </c:pt>
                <c:pt idx="109">
                  <c:v>-1.6009497697650699E-2</c:v>
                </c:pt>
                <c:pt idx="110">
                  <c:v>7.44735230042649E-5</c:v>
                </c:pt>
                <c:pt idx="111">
                  <c:v>8.1207835604704844E-4</c:v>
                </c:pt>
                <c:pt idx="112">
                  <c:v>2.1237764387147008E-2</c:v>
                </c:pt>
                <c:pt idx="113">
                  <c:v>-1.3350883198711533E-3</c:v>
                </c:pt>
                <c:pt idx="114">
                  <c:v>2.8632582899802425E-3</c:v>
                </c:pt>
                <c:pt idx="115">
                  <c:v>4.8490159692981584E-6</c:v>
                </c:pt>
                <c:pt idx="116">
                  <c:v>-9.6336176078023524E-3</c:v>
                </c:pt>
                <c:pt idx="117">
                  <c:v>1.0013971685448871E-2</c:v>
                </c:pt>
                <c:pt idx="118">
                  <c:v>6.6913206603301696E-3</c:v>
                </c:pt>
                <c:pt idx="119">
                  <c:v>7.0237557074765092E-3</c:v>
                </c:pt>
                <c:pt idx="120">
                  <c:v>-7.4295972925456106E-3</c:v>
                </c:pt>
                <c:pt idx="121">
                  <c:v>1.2223563035951004E-2</c:v>
                </c:pt>
                <c:pt idx="122">
                  <c:v>-1.1615518842304514E-2</c:v>
                </c:pt>
                <c:pt idx="123">
                  <c:v>5.2882417797280677E-3</c:v>
                </c:pt>
                <c:pt idx="124">
                  <c:v>1.8918938955846922E-2</c:v>
                </c:pt>
                <c:pt idx="125">
                  <c:v>-8.119387929587104E-3</c:v>
                </c:pt>
                <c:pt idx="126">
                  <c:v>-4.5133689504251104E-3</c:v>
                </c:pt>
                <c:pt idx="127">
                  <c:v>1.1469971056410001E-3</c:v>
                </c:pt>
                <c:pt idx="128">
                  <c:v>-3.9796963588734149E-3</c:v>
                </c:pt>
                <c:pt idx="129">
                  <c:v>-1.2880570661761362E-2</c:v>
                </c:pt>
                <c:pt idx="130">
                  <c:v>8.8288203008527041E-4</c:v>
                </c:pt>
                <c:pt idx="131">
                  <c:v>-8.7294435212178292E-3</c:v>
                </c:pt>
                <c:pt idx="132">
                  <c:v>4.3257395521569889E-3</c:v>
                </c:pt>
                <c:pt idx="133">
                  <c:v>-7.5152745571192194E-3</c:v>
                </c:pt>
                <c:pt idx="134">
                  <c:v>1.3474642512977001E-2</c:v>
                </c:pt>
                <c:pt idx="135">
                  <c:v>-6.3576600247676968E-3</c:v>
                </c:pt>
                <c:pt idx="136">
                  <c:v>-2.4373126550424179E-3</c:v>
                </c:pt>
                <c:pt idx="137">
                  <c:v>7.2147215376930545E-3</c:v>
                </c:pt>
                <c:pt idx="138">
                  <c:v>-1.0162174237502215E-2</c:v>
                </c:pt>
                <c:pt idx="139">
                  <c:v>2.2334210184929916E-3</c:v>
                </c:pt>
                <c:pt idx="140">
                  <c:v>1.14105910636877E-2</c:v>
                </c:pt>
                <c:pt idx="141">
                  <c:v>-1.3363730095381681E-2</c:v>
                </c:pt>
                <c:pt idx="142">
                  <c:v>1.8694922996767317E-3</c:v>
                </c:pt>
                <c:pt idx="143">
                  <c:v>2.5090122725830301E-3</c:v>
                </c:pt>
                <c:pt idx="144">
                  <c:v>6.9455432200447942E-3</c:v>
                </c:pt>
                <c:pt idx="145">
                  <c:v>-1.0213892103611271E-2</c:v>
                </c:pt>
                <c:pt idx="146">
                  <c:v>-1.0924081497735116E-2</c:v>
                </c:pt>
                <c:pt idx="147">
                  <c:v>4.7362901895081763E-3</c:v>
                </c:pt>
                <c:pt idx="148">
                  <c:v>2.8242886069869103E-3</c:v>
                </c:pt>
                <c:pt idx="149">
                  <c:v>2.4293700582752402E-3</c:v>
                </c:pt>
                <c:pt idx="150">
                  <c:v>3.2448842802106008E-3</c:v>
                </c:pt>
                <c:pt idx="151">
                  <c:v>-5.4800606405496196E-3</c:v>
                </c:pt>
                <c:pt idx="152">
                  <c:v>2.2741898683276392E-3</c:v>
                </c:pt>
                <c:pt idx="153">
                  <c:v>2.7912754188560971E-3</c:v>
                </c:pt>
                <c:pt idx="154">
                  <c:v>-5.7722092539385693E-3</c:v>
                </c:pt>
                <c:pt idx="155">
                  <c:v>1.6158941836237516E-2</c:v>
                </c:pt>
                <c:pt idx="156">
                  <c:v>4.3277854579173575E-3</c:v>
                </c:pt>
                <c:pt idx="157">
                  <c:v>-9.825908620264872E-3</c:v>
                </c:pt>
                <c:pt idx="158">
                  <c:v>5.8808823797614797E-3</c:v>
                </c:pt>
                <c:pt idx="159">
                  <c:v>-7.9846633320179855E-3</c:v>
                </c:pt>
                <c:pt idx="160">
                  <c:v>6.9900600553505837E-3</c:v>
                </c:pt>
                <c:pt idx="161">
                  <c:v>1.0147980281885769E-2</c:v>
                </c:pt>
                <c:pt idx="162">
                  <c:v>-6.675768987118887E-3</c:v>
                </c:pt>
                <c:pt idx="163">
                  <c:v>8.4886465394289051E-3</c:v>
                </c:pt>
                <c:pt idx="164">
                  <c:v>3.8085744254845945E-3</c:v>
                </c:pt>
                <c:pt idx="165">
                  <c:v>7.2873144132653694E-3</c:v>
                </c:pt>
                <c:pt idx="166">
                  <c:v>1.642286927035045E-2</c:v>
                </c:pt>
                <c:pt idx="167">
                  <c:v>-1.7859705007556136E-3</c:v>
                </c:pt>
                <c:pt idx="168">
                  <c:v>-6.1068743587095221E-3</c:v>
                </c:pt>
                <c:pt idx="169">
                  <c:v>-7.2610836563623184E-3</c:v>
                </c:pt>
                <c:pt idx="170">
                  <c:v>-6.6343823006653879E-3</c:v>
                </c:pt>
                <c:pt idx="171">
                  <c:v>-3.5533698451015302E-4</c:v>
                </c:pt>
                <c:pt idx="172">
                  <c:v>3.1999298740415299E-3</c:v>
                </c:pt>
                <c:pt idx="173">
                  <c:v>2.6517505796016853E-3</c:v>
                </c:pt>
                <c:pt idx="174">
                  <c:v>7.330895267732806E-3</c:v>
                </c:pt>
                <c:pt idx="175">
                  <c:v>4.1053456889167335E-4</c:v>
                </c:pt>
                <c:pt idx="176">
                  <c:v>1.2655006546019192E-2</c:v>
                </c:pt>
                <c:pt idx="177">
                  <c:v>-1.9495485652598181E-3</c:v>
                </c:pt>
                <c:pt idx="178">
                  <c:v>2.3421483472211738E-2</c:v>
                </c:pt>
                <c:pt idx="179">
                  <c:v>5.6181003163671903E-3</c:v>
                </c:pt>
                <c:pt idx="180">
                  <c:v>-6.9858761946917985E-3</c:v>
                </c:pt>
                <c:pt idx="181">
                  <c:v>-8.8025741070036842E-3</c:v>
                </c:pt>
                <c:pt idx="182">
                  <c:v>4.400864283794912E-3</c:v>
                </c:pt>
                <c:pt idx="183">
                  <c:v>-1.5992389166445532E-3</c:v>
                </c:pt>
                <c:pt idx="184">
                  <c:v>6.3689379540365796E-3</c:v>
                </c:pt>
                <c:pt idx="185">
                  <c:v>4.3223461438820499E-3</c:v>
                </c:pt>
                <c:pt idx="186">
                  <c:v>-3.1895826865062642E-4</c:v>
                </c:pt>
                <c:pt idx="187">
                  <c:v>-6.8975626073799479E-3</c:v>
                </c:pt>
                <c:pt idx="188">
                  <c:v>-1.2576154923148539E-2</c:v>
                </c:pt>
                <c:pt idx="189">
                  <c:v>-3.4953801326576004E-3</c:v>
                </c:pt>
                <c:pt idx="190">
                  <c:v>7.5793312172744796E-3</c:v>
                </c:pt>
                <c:pt idx="191">
                  <c:v>2.1196675798607488E-3</c:v>
                </c:pt>
                <c:pt idx="192">
                  <c:v>-1.0288823480585045E-2</c:v>
                </c:pt>
                <c:pt idx="193">
                  <c:v>1.7721933517063414E-3</c:v>
                </c:pt>
                <c:pt idx="194">
                  <c:v>3.5753939922017366E-3</c:v>
                </c:pt>
                <c:pt idx="195">
                  <c:v>-7.2126996487824804E-3</c:v>
                </c:pt>
                <c:pt idx="196">
                  <c:v>1.6067189697336792E-3</c:v>
                </c:pt>
                <c:pt idx="197">
                  <c:v>7.9465001273928569E-4</c:v>
                </c:pt>
                <c:pt idx="198">
                  <c:v>-9.4150684979614919E-3</c:v>
                </c:pt>
                <c:pt idx="199">
                  <c:v>3.3412206240836725E-3</c:v>
                </c:pt>
                <c:pt idx="200">
                  <c:v>5.06682142457385E-3</c:v>
                </c:pt>
                <c:pt idx="201">
                  <c:v>9.5059267984670074E-3</c:v>
                </c:pt>
                <c:pt idx="202">
                  <c:v>9.2573136695168461E-3</c:v>
                </c:pt>
                <c:pt idx="203">
                  <c:v>-1.1410000685122773E-2</c:v>
                </c:pt>
                <c:pt idx="204">
                  <c:v>-7.6716794980009086E-3</c:v>
                </c:pt>
                <c:pt idx="205">
                  <c:v>4.6779745333195132E-3</c:v>
                </c:pt>
                <c:pt idx="206">
                  <c:v>4.6669873791567772E-3</c:v>
                </c:pt>
                <c:pt idx="207">
                  <c:v>4.6779535153663055E-3</c:v>
                </c:pt>
                <c:pt idx="208">
                  <c:v>3.3048058742563155E-2</c:v>
                </c:pt>
                <c:pt idx="209">
                  <c:v>5.1524871574629878E-3</c:v>
                </c:pt>
                <c:pt idx="210">
                  <c:v>9.9523510699579595E-3</c:v>
                </c:pt>
                <c:pt idx="211">
                  <c:v>8.4088861405549626E-3</c:v>
                </c:pt>
                <c:pt idx="212">
                  <c:v>5.8370140095486732E-3</c:v>
                </c:pt>
                <c:pt idx="213">
                  <c:v>-2.3795958454680037E-3</c:v>
                </c:pt>
                <c:pt idx="214">
                  <c:v>6.7512438156706687E-3</c:v>
                </c:pt>
                <c:pt idx="215">
                  <c:v>-6.2691924384909743E-3</c:v>
                </c:pt>
                <c:pt idx="216">
                  <c:v>-1.7129391404002109E-3</c:v>
                </c:pt>
                <c:pt idx="217">
                  <c:v>-3.8257609851305302E-3</c:v>
                </c:pt>
                <c:pt idx="218">
                  <c:v>9.9610674396394218E-4</c:v>
                </c:pt>
                <c:pt idx="219">
                  <c:v>1.9974745857173393E-2</c:v>
                </c:pt>
                <c:pt idx="220">
                  <c:v>-1.5571802855855956E-2</c:v>
                </c:pt>
                <c:pt idx="221">
                  <c:v>6.1332016662066172E-3</c:v>
                </c:pt>
                <c:pt idx="222">
                  <c:v>-1.3407920322398594E-2</c:v>
                </c:pt>
                <c:pt idx="223">
                  <c:v>-3.7115787276785594E-3</c:v>
                </c:pt>
                <c:pt idx="224">
                  <c:v>9.5559955348166192E-3</c:v>
                </c:pt>
                <c:pt idx="225">
                  <c:v>8.4620411651874781E-4</c:v>
                </c:pt>
                <c:pt idx="226">
                  <c:v>-8.8607756475907202E-3</c:v>
                </c:pt>
                <c:pt idx="227">
                  <c:v>-5.7801898923110174E-3</c:v>
                </c:pt>
                <c:pt idx="228">
                  <c:v>6.0766473845395973E-3</c:v>
                </c:pt>
                <c:pt idx="229">
                  <c:v>-5.9079992999643291E-3</c:v>
                </c:pt>
                <c:pt idx="230">
                  <c:v>2.1397935043166536E-3</c:v>
                </c:pt>
                <c:pt idx="231">
                  <c:v>6.8743836198221077E-4</c:v>
                </c:pt>
                <c:pt idx="232">
                  <c:v>-5.2387976319679987E-3</c:v>
                </c:pt>
                <c:pt idx="233">
                  <c:v>1.8523627623425062E-2</c:v>
                </c:pt>
                <c:pt idx="234">
                  <c:v>5.6882703639623599E-3</c:v>
                </c:pt>
                <c:pt idx="235">
                  <c:v>-1.69136161585253E-2</c:v>
                </c:pt>
                <c:pt idx="236">
                  <c:v>1.88502431728664E-3</c:v>
                </c:pt>
                <c:pt idx="237">
                  <c:v>-5.3253791075478845E-3</c:v>
                </c:pt>
                <c:pt idx="238">
                  <c:v>7.5458594859438913E-3</c:v>
                </c:pt>
                <c:pt idx="239">
                  <c:v>-6.4363622541615002E-3</c:v>
                </c:pt>
                <c:pt idx="240">
                  <c:v>-6.7540518996328394E-4</c:v>
                </c:pt>
                <c:pt idx="241">
                  <c:v>4.5923389137441676E-3</c:v>
                </c:pt>
                <c:pt idx="242">
                  <c:v>7.6588710702330462E-3</c:v>
                </c:pt>
                <c:pt idx="243">
                  <c:v>-9.9026556467560686E-3</c:v>
                </c:pt>
                <c:pt idx="244">
                  <c:v>-2.5433007574985999E-3</c:v>
                </c:pt>
                <c:pt idx="245">
                  <c:v>-3.7370861667249413E-3</c:v>
                </c:pt>
                <c:pt idx="246">
                  <c:v>-5.253346600010869E-3</c:v>
                </c:pt>
                <c:pt idx="247">
                  <c:v>1.5306234960737729E-2</c:v>
                </c:pt>
                <c:pt idx="248">
                  <c:v>3.7423203019482662E-3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4A-45AE-A114-316557C3A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India VIX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Log Returns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Institutional Flow (FII + DII) Over Period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Quantitative_Model!$E$2</c:f>
              <c:strCache>
                <c:ptCount val="1"/>
                <c:pt idx="0">
                  <c:v>Inst_Flow (Cr)</c:v>
                </c:pt>
              </c:strCache>
            </c:strRef>
          </c:tx>
          <c:spPr>
            <a:solidFill>
              <a:srgbClr val="1ABC9C"/>
            </a:solidFill>
            <a:ln>
              <a:prstDash val="solid"/>
            </a:ln>
          </c:spPr>
          <c:invertIfNegative val="1"/>
          <c:val>
            <c:numRef>
              <c:f>Quantitative_Model!$E$3:$E$252</c:f>
              <c:numCache>
                <c:formatCode>#,##0</c:formatCode>
                <c:ptCount val="250"/>
                <c:pt idx="0">
                  <c:v>-726</c:v>
                </c:pt>
                <c:pt idx="1">
                  <c:v>-1</c:v>
                </c:pt>
                <c:pt idx="2">
                  <c:v>455</c:v>
                </c:pt>
                <c:pt idx="3">
                  <c:v>-64</c:v>
                </c:pt>
                <c:pt idx="4">
                  <c:v>825</c:v>
                </c:pt>
                <c:pt idx="5">
                  <c:v>-577</c:v>
                </c:pt>
                <c:pt idx="6">
                  <c:v>2066</c:v>
                </c:pt>
                <c:pt idx="7">
                  <c:v>605</c:v>
                </c:pt>
                <c:pt idx="8">
                  <c:v>-184</c:v>
                </c:pt>
                <c:pt idx="9">
                  <c:v>41</c:v>
                </c:pt>
                <c:pt idx="10">
                  <c:v>88</c:v>
                </c:pt>
                <c:pt idx="11">
                  <c:v>-188</c:v>
                </c:pt>
                <c:pt idx="12">
                  <c:v>367</c:v>
                </c:pt>
                <c:pt idx="13">
                  <c:v>575</c:v>
                </c:pt>
                <c:pt idx="14">
                  <c:v>-891</c:v>
                </c:pt>
                <c:pt idx="15">
                  <c:v>352</c:v>
                </c:pt>
                <c:pt idx="16">
                  <c:v>-333</c:v>
                </c:pt>
                <c:pt idx="17">
                  <c:v>502</c:v>
                </c:pt>
                <c:pt idx="18">
                  <c:v>379</c:v>
                </c:pt>
                <c:pt idx="19">
                  <c:v>-687</c:v>
                </c:pt>
                <c:pt idx="20">
                  <c:v>2015</c:v>
                </c:pt>
                <c:pt idx="21">
                  <c:v>-81</c:v>
                </c:pt>
                <c:pt idx="22">
                  <c:v>143</c:v>
                </c:pt>
                <c:pt idx="23">
                  <c:v>-314</c:v>
                </c:pt>
                <c:pt idx="24">
                  <c:v>651</c:v>
                </c:pt>
                <c:pt idx="25">
                  <c:v>323</c:v>
                </c:pt>
                <c:pt idx="26">
                  <c:v>-1671</c:v>
                </c:pt>
                <c:pt idx="27">
                  <c:v>-520</c:v>
                </c:pt>
                <c:pt idx="28">
                  <c:v>-156</c:v>
                </c:pt>
                <c:pt idx="29">
                  <c:v>136</c:v>
                </c:pt>
                <c:pt idx="30">
                  <c:v>-37</c:v>
                </c:pt>
                <c:pt idx="31">
                  <c:v>1330</c:v>
                </c:pt>
                <c:pt idx="32">
                  <c:v>-1006</c:v>
                </c:pt>
                <c:pt idx="33">
                  <c:v>-82</c:v>
                </c:pt>
                <c:pt idx="34">
                  <c:v>483</c:v>
                </c:pt>
                <c:pt idx="35">
                  <c:v>-257</c:v>
                </c:pt>
                <c:pt idx="36">
                  <c:v>864</c:v>
                </c:pt>
                <c:pt idx="37">
                  <c:v>-514</c:v>
                </c:pt>
                <c:pt idx="38">
                  <c:v>-266</c:v>
                </c:pt>
                <c:pt idx="39">
                  <c:v>599</c:v>
                </c:pt>
                <c:pt idx="40">
                  <c:v>-480</c:v>
                </c:pt>
                <c:pt idx="41">
                  <c:v>782</c:v>
                </c:pt>
                <c:pt idx="42">
                  <c:v>-104</c:v>
                </c:pt>
                <c:pt idx="43">
                  <c:v>394</c:v>
                </c:pt>
                <c:pt idx="44">
                  <c:v>-598</c:v>
                </c:pt>
                <c:pt idx="45">
                  <c:v>-1458</c:v>
                </c:pt>
                <c:pt idx="46">
                  <c:v>277</c:v>
                </c:pt>
                <c:pt idx="47">
                  <c:v>851</c:v>
                </c:pt>
                <c:pt idx="48">
                  <c:v>640</c:v>
                </c:pt>
                <c:pt idx="49">
                  <c:v>-424</c:v>
                </c:pt>
                <c:pt idx="50">
                  <c:v>174</c:v>
                </c:pt>
                <c:pt idx="51">
                  <c:v>544</c:v>
                </c:pt>
                <c:pt idx="52">
                  <c:v>-392</c:v>
                </c:pt>
                <c:pt idx="53">
                  <c:v>918</c:v>
                </c:pt>
                <c:pt idx="54">
                  <c:v>522</c:v>
                </c:pt>
                <c:pt idx="55">
                  <c:v>520</c:v>
                </c:pt>
                <c:pt idx="56">
                  <c:v>-444</c:v>
                </c:pt>
                <c:pt idx="57">
                  <c:v>29</c:v>
                </c:pt>
                <c:pt idx="58">
                  <c:v>-21</c:v>
                </c:pt>
                <c:pt idx="59">
                  <c:v>1403</c:v>
                </c:pt>
                <c:pt idx="60">
                  <c:v>-582</c:v>
                </c:pt>
                <c:pt idx="61">
                  <c:v>136</c:v>
                </c:pt>
                <c:pt idx="62">
                  <c:v>194</c:v>
                </c:pt>
                <c:pt idx="63">
                  <c:v>700</c:v>
                </c:pt>
                <c:pt idx="64">
                  <c:v>564</c:v>
                </c:pt>
                <c:pt idx="65">
                  <c:v>1725</c:v>
                </c:pt>
                <c:pt idx="66">
                  <c:v>-693</c:v>
                </c:pt>
                <c:pt idx="67">
                  <c:v>118</c:v>
                </c:pt>
                <c:pt idx="68">
                  <c:v>487</c:v>
                </c:pt>
                <c:pt idx="69">
                  <c:v>-644</c:v>
                </c:pt>
                <c:pt idx="70">
                  <c:v>791</c:v>
                </c:pt>
                <c:pt idx="71">
                  <c:v>640</c:v>
                </c:pt>
                <c:pt idx="72">
                  <c:v>1457</c:v>
                </c:pt>
                <c:pt idx="73">
                  <c:v>2161</c:v>
                </c:pt>
                <c:pt idx="74">
                  <c:v>-1191</c:v>
                </c:pt>
                <c:pt idx="75">
                  <c:v>628</c:v>
                </c:pt>
                <c:pt idx="76">
                  <c:v>251</c:v>
                </c:pt>
                <c:pt idx="77">
                  <c:v>951</c:v>
                </c:pt>
                <c:pt idx="78">
                  <c:v>249</c:v>
                </c:pt>
                <c:pt idx="79">
                  <c:v>-1357</c:v>
                </c:pt>
                <c:pt idx="80">
                  <c:v>356</c:v>
                </c:pt>
                <c:pt idx="81">
                  <c:v>-188</c:v>
                </c:pt>
                <c:pt idx="82">
                  <c:v>269</c:v>
                </c:pt>
                <c:pt idx="83">
                  <c:v>-306</c:v>
                </c:pt>
                <c:pt idx="84">
                  <c:v>225</c:v>
                </c:pt>
                <c:pt idx="85">
                  <c:v>37</c:v>
                </c:pt>
                <c:pt idx="86">
                  <c:v>817</c:v>
                </c:pt>
                <c:pt idx="87">
                  <c:v>984</c:v>
                </c:pt>
                <c:pt idx="88">
                  <c:v>-797</c:v>
                </c:pt>
                <c:pt idx="89">
                  <c:v>1208</c:v>
                </c:pt>
                <c:pt idx="90">
                  <c:v>-131</c:v>
                </c:pt>
                <c:pt idx="91">
                  <c:v>641</c:v>
                </c:pt>
                <c:pt idx="92">
                  <c:v>86</c:v>
                </c:pt>
                <c:pt idx="93">
                  <c:v>-332</c:v>
                </c:pt>
                <c:pt idx="94">
                  <c:v>344</c:v>
                </c:pt>
                <c:pt idx="95">
                  <c:v>-3</c:v>
                </c:pt>
                <c:pt idx="96">
                  <c:v>424</c:v>
                </c:pt>
                <c:pt idx="97">
                  <c:v>386</c:v>
                </c:pt>
                <c:pt idx="98">
                  <c:v>1122</c:v>
                </c:pt>
                <c:pt idx="99">
                  <c:v>-353</c:v>
                </c:pt>
                <c:pt idx="100">
                  <c:v>-548</c:v>
                </c:pt>
                <c:pt idx="101">
                  <c:v>-31</c:v>
                </c:pt>
                <c:pt idx="102">
                  <c:v>-517</c:v>
                </c:pt>
                <c:pt idx="103">
                  <c:v>-169</c:v>
                </c:pt>
                <c:pt idx="104">
                  <c:v>1187</c:v>
                </c:pt>
                <c:pt idx="105">
                  <c:v>1240</c:v>
                </c:pt>
                <c:pt idx="106">
                  <c:v>1379</c:v>
                </c:pt>
                <c:pt idx="107">
                  <c:v>-379</c:v>
                </c:pt>
                <c:pt idx="108">
                  <c:v>154</c:v>
                </c:pt>
                <c:pt idx="109">
                  <c:v>-681</c:v>
                </c:pt>
                <c:pt idx="110">
                  <c:v>182</c:v>
                </c:pt>
                <c:pt idx="111">
                  <c:v>521</c:v>
                </c:pt>
                <c:pt idx="112">
                  <c:v>-534</c:v>
                </c:pt>
                <c:pt idx="113">
                  <c:v>2166</c:v>
                </c:pt>
                <c:pt idx="114">
                  <c:v>657</c:v>
                </c:pt>
                <c:pt idx="115">
                  <c:v>849</c:v>
                </c:pt>
                <c:pt idx="116">
                  <c:v>49</c:v>
                </c:pt>
                <c:pt idx="117">
                  <c:v>-120</c:v>
                </c:pt>
                <c:pt idx="118">
                  <c:v>1125</c:v>
                </c:pt>
                <c:pt idx="119">
                  <c:v>1034</c:v>
                </c:pt>
                <c:pt idx="120">
                  <c:v>1642</c:v>
                </c:pt>
                <c:pt idx="121">
                  <c:v>-534</c:v>
                </c:pt>
                <c:pt idx="122">
                  <c:v>589</c:v>
                </c:pt>
                <c:pt idx="123">
                  <c:v>-470</c:v>
                </c:pt>
                <c:pt idx="124">
                  <c:v>552</c:v>
                </c:pt>
                <c:pt idx="125">
                  <c:v>1689</c:v>
                </c:pt>
                <c:pt idx="126">
                  <c:v>508</c:v>
                </c:pt>
                <c:pt idx="127">
                  <c:v>-619</c:v>
                </c:pt>
                <c:pt idx="128">
                  <c:v>329</c:v>
                </c:pt>
                <c:pt idx="129">
                  <c:v>4</c:v>
                </c:pt>
                <c:pt idx="130">
                  <c:v>488</c:v>
                </c:pt>
                <c:pt idx="131">
                  <c:v>951</c:v>
                </c:pt>
                <c:pt idx="132">
                  <c:v>-13</c:v>
                </c:pt>
                <c:pt idx="133">
                  <c:v>127</c:v>
                </c:pt>
                <c:pt idx="134">
                  <c:v>192</c:v>
                </c:pt>
                <c:pt idx="135">
                  <c:v>904</c:v>
                </c:pt>
                <c:pt idx="136">
                  <c:v>248</c:v>
                </c:pt>
                <c:pt idx="137">
                  <c:v>637</c:v>
                </c:pt>
                <c:pt idx="138">
                  <c:v>418</c:v>
                </c:pt>
                <c:pt idx="139">
                  <c:v>-456</c:v>
                </c:pt>
                <c:pt idx="140">
                  <c:v>443</c:v>
                </c:pt>
                <c:pt idx="141">
                  <c:v>1090</c:v>
                </c:pt>
                <c:pt idx="142">
                  <c:v>313</c:v>
                </c:pt>
                <c:pt idx="143">
                  <c:v>744</c:v>
                </c:pt>
                <c:pt idx="144">
                  <c:v>418</c:v>
                </c:pt>
                <c:pt idx="145">
                  <c:v>1169</c:v>
                </c:pt>
                <c:pt idx="146">
                  <c:v>-94</c:v>
                </c:pt>
                <c:pt idx="147">
                  <c:v>-1339</c:v>
                </c:pt>
                <c:pt idx="148">
                  <c:v>501</c:v>
                </c:pt>
                <c:pt idx="149">
                  <c:v>873</c:v>
                </c:pt>
                <c:pt idx="150">
                  <c:v>147</c:v>
                </c:pt>
                <c:pt idx="151">
                  <c:v>1163</c:v>
                </c:pt>
                <c:pt idx="152">
                  <c:v>91</c:v>
                </c:pt>
                <c:pt idx="153">
                  <c:v>244</c:v>
                </c:pt>
                <c:pt idx="154">
                  <c:v>619</c:v>
                </c:pt>
                <c:pt idx="155">
                  <c:v>846</c:v>
                </c:pt>
                <c:pt idx="156">
                  <c:v>1079</c:v>
                </c:pt>
                <c:pt idx="157">
                  <c:v>-251</c:v>
                </c:pt>
                <c:pt idx="158">
                  <c:v>57</c:v>
                </c:pt>
                <c:pt idx="159">
                  <c:v>892</c:v>
                </c:pt>
                <c:pt idx="160">
                  <c:v>821</c:v>
                </c:pt>
                <c:pt idx="161">
                  <c:v>219</c:v>
                </c:pt>
                <c:pt idx="162">
                  <c:v>654</c:v>
                </c:pt>
                <c:pt idx="163">
                  <c:v>-32</c:v>
                </c:pt>
                <c:pt idx="164">
                  <c:v>1249</c:v>
                </c:pt>
                <c:pt idx="165">
                  <c:v>114</c:v>
                </c:pt>
                <c:pt idx="166">
                  <c:v>752</c:v>
                </c:pt>
                <c:pt idx="167">
                  <c:v>1270</c:v>
                </c:pt>
                <c:pt idx="168">
                  <c:v>697</c:v>
                </c:pt>
                <c:pt idx="169">
                  <c:v>-1214</c:v>
                </c:pt>
                <c:pt idx="170">
                  <c:v>282</c:v>
                </c:pt>
                <c:pt idx="171">
                  <c:v>804</c:v>
                </c:pt>
                <c:pt idx="172">
                  <c:v>-1016</c:v>
                </c:pt>
                <c:pt idx="173">
                  <c:v>319</c:v>
                </c:pt>
                <c:pt idx="174">
                  <c:v>-135</c:v>
                </c:pt>
                <c:pt idx="175">
                  <c:v>712</c:v>
                </c:pt>
                <c:pt idx="176">
                  <c:v>-797</c:v>
                </c:pt>
                <c:pt idx="177">
                  <c:v>209</c:v>
                </c:pt>
                <c:pt idx="178">
                  <c:v>866</c:v>
                </c:pt>
                <c:pt idx="179">
                  <c:v>2504</c:v>
                </c:pt>
                <c:pt idx="180">
                  <c:v>878</c:v>
                </c:pt>
                <c:pt idx="181">
                  <c:v>-201</c:v>
                </c:pt>
                <c:pt idx="182">
                  <c:v>312</c:v>
                </c:pt>
                <c:pt idx="183">
                  <c:v>-469</c:v>
                </c:pt>
                <c:pt idx="184">
                  <c:v>-821</c:v>
                </c:pt>
                <c:pt idx="185">
                  <c:v>346</c:v>
                </c:pt>
                <c:pt idx="186">
                  <c:v>408</c:v>
                </c:pt>
                <c:pt idx="187">
                  <c:v>-406</c:v>
                </c:pt>
                <c:pt idx="188">
                  <c:v>73</c:v>
                </c:pt>
                <c:pt idx="189">
                  <c:v>-94</c:v>
                </c:pt>
                <c:pt idx="190">
                  <c:v>-116</c:v>
                </c:pt>
                <c:pt idx="191">
                  <c:v>-167</c:v>
                </c:pt>
                <c:pt idx="192">
                  <c:v>1128</c:v>
                </c:pt>
                <c:pt idx="193">
                  <c:v>-364</c:v>
                </c:pt>
                <c:pt idx="194">
                  <c:v>445</c:v>
                </c:pt>
                <c:pt idx="195">
                  <c:v>1504</c:v>
                </c:pt>
                <c:pt idx="196">
                  <c:v>-811</c:v>
                </c:pt>
                <c:pt idx="197">
                  <c:v>-372</c:v>
                </c:pt>
                <c:pt idx="198">
                  <c:v>-518</c:v>
                </c:pt>
                <c:pt idx="199">
                  <c:v>-5</c:v>
                </c:pt>
                <c:pt idx="200">
                  <c:v>434</c:v>
                </c:pt>
                <c:pt idx="201">
                  <c:v>169</c:v>
                </c:pt>
                <c:pt idx="202">
                  <c:v>1214</c:v>
                </c:pt>
                <c:pt idx="203">
                  <c:v>-179</c:v>
                </c:pt>
                <c:pt idx="204">
                  <c:v>-134</c:v>
                </c:pt>
                <c:pt idx="205">
                  <c:v>-752</c:v>
                </c:pt>
                <c:pt idx="206">
                  <c:v>1201</c:v>
                </c:pt>
                <c:pt idx="207">
                  <c:v>190</c:v>
                </c:pt>
                <c:pt idx="208">
                  <c:v>1250</c:v>
                </c:pt>
                <c:pt idx="209">
                  <c:v>1508</c:v>
                </c:pt>
                <c:pt idx="210">
                  <c:v>1251</c:v>
                </c:pt>
                <c:pt idx="211">
                  <c:v>1106</c:v>
                </c:pt>
                <c:pt idx="212">
                  <c:v>1268</c:v>
                </c:pt>
                <c:pt idx="213">
                  <c:v>420</c:v>
                </c:pt>
                <c:pt idx="214">
                  <c:v>563</c:v>
                </c:pt>
                <c:pt idx="215">
                  <c:v>492</c:v>
                </c:pt>
                <c:pt idx="216">
                  <c:v>960</c:v>
                </c:pt>
                <c:pt idx="217">
                  <c:v>-189</c:v>
                </c:pt>
                <c:pt idx="218">
                  <c:v>952</c:v>
                </c:pt>
                <c:pt idx="219">
                  <c:v>112</c:v>
                </c:pt>
                <c:pt idx="220">
                  <c:v>500</c:v>
                </c:pt>
                <c:pt idx="221">
                  <c:v>-440</c:v>
                </c:pt>
                <c:pt idx="222">
                  <c:v>-387</c:v>
                </c:pt>
                <c:pt idx="223">
                  <c:v>-519</c:v>
                </c:pt>
                <c:pt idx="224">
                  <c:v>-73</c:v>
                </c:pt>
                <c:pt idx="225">
                  <c:v>528</c:v>
                </c:pt>
                <c:pt idx="226">
                  <c:v>-762</c:v>
                </c:pt>
                <c:pt idx="227">
                  <c:v>-479</c:v>
                </c:pt>
                <c:pt idx="228">
                  <c:v>-1196</c:v>
                </c:pt>
                <c:pt idx="229">
                  <c:v>-456</c:v>
                </c:pt>
                <c:pt idx="230">
                  <c:v>18</c:v>
                </c:pt>
                <c:pt idx="231">
                  <c:v>768</c:v>
                </c:pt>
                <c:pt idx="232">
                  <c:v>126</c:v>
                </c:pt>
                <c:pt idx="233">
                  <c:v>-420</c:v>
                </c:pt>
                <c:pt idx="234">
                  <c:v>573</c:v>
                </c:pt>
                <c:pt idx="235">
                  <c:v>832</c:v>
                </c:pt>
                <c:pt idx="236">
                  <c:v>-1099</c:v>
                </c:pt>
                <c:pt idx="237">
                  <c:v>1134</c:v>
                </c:pt>
                <c:pt idx="238">
                  <c:v>687</c:v>
                </c:pt>
                <c:pt idx="239">
                  <c:v>1029</c:v>
                </c:pt>
                <c:pt idx="240">
                  <c:v>215</c:v>
                </c:pt>
                <c:pt idx="241">
                  <c:v>-338</c:v>
                </c:pt>
                <c:pt idx="242">
                  <c:v>-1006</c:v>
                </c:pt>
                <c:pt idx="243">
                  <c:v>267</c:v>
                </c:pt>
                <c:pt idx="244">
                  <c:v>-645</c:v>
                </c:pt>
                <c:pt idx="245">
                  <c:v>-262</c:v>
                </c:pt>
                <c:pt idx="246">
                  <c:v>-373</c:v>
                </c:pt>
                <c:pt idx="247">
                  <c:v>889</c:v>
                </c:pt>
                <c:pt idx="248">
                  <c:v>1063</c:v>
                </c:pt>
                <c:pt idx="249">
                  <c:v>-94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788-43C0-A3AD-E989B8074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Day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Net Flow (₹ Cr)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PCR Signal Distribution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Dashboard!$I$33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Dashboard!$H$34:$H$36</c:f>
              <c:strCache>
                <c:ptCount val="3"/>
                <c:pt idx="0">
                  <c:v>Bearish</c:v>
                </c:pt>
                <c:pt idx="1">
                  <c:v>Neutral</c:v>
                </c:pt>
                <c:pt idx="2">
                  <c:v>Bullish</c:v>
                </c:pt>
              </c:strCache>
            </c:strRef>
          </c:cat>
          <c:val>
            <c:numRef>
              <c:f>Dashboard!$I$34:$I$36</c:f>
              <c:numCache>
                <c:formatCode>General</c:formatCode>
                <c:ptCount val="3"/>
                <c:pt idx="0">
                  <c:v>46</c:v>
                </c:pt>
                <c:pt idx="1">
                  <c:v>133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A9-4637-8FFF-77546E8B5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Days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9</xdr:row>
      <xdr:rowOff>0</xdr:rowOff>
    </xdr:from>
    <xdr:ext cx="792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32</xdr:row>
      <xdr:rowOff>0</xdr:rowOff>
    </xdr:from>
    <xdr:ext cx="792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32</xdr:row>
      <xdr:rowOff>0</xdr:rowOff>
    </xdr:from>
    <xdr:ext cx="7920000" cy="43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4F72"/>
  </sheetPr>
  <dimension ref="A1:H252"/>
  <sheetViews>
    <sheetView showGridLines="0" workbookViewId="0">
      <pane ySplit="2" topLeftCell="A3" activePane="bottomLeft" state="frozen"/>
      <selection pane="bottomLeft" activeCell="L10" sqref="L10"/>
    </sheetView>
  </sheetViews>
  <sheetFormatPr defaultRowHeight="14.4" x14ac:dyDescent="0.3"/>
  <cols>
    <col min="1" max="2" width="14" customWidth="1"/>
    <col min="3" max="3" width="12" customWidth="1"/>
    <col min="4" max="5" width="16" customWidth="1"/>
    <col min="6" max="6" width="10" customWidth="1"/>
    <col min="7" max="7" width="62" customWidth="1"/>
    <col min="8" max="8" width="16" customWidth="1"/>
  </cols>
  <sheetData>
    <row r="1" spans="1:8" ht="30" customHeight="1" x14ac:dyDescent="0.3">
      <c r="A1" s="14" t="s">
        <v>0</v>
      </c>
      <c r="B1" s="15"/>
      <c r="C1" s="15"/>
      <c r="D1" s="15"/>
      <c r="E1" s="15"/>
      <c r="F1" s="15"/>
      <c r="G1" s="15"/>
      <c r="H1" s="15"/>
    </row>
    <row r="2" spans="1:8" ht="19.95" customHeight="1" x14ac:dyDescent="0.3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</row>
    <row r="3" spans="1:8" x14ac:dyDescent="0.3">
      <c r="A3" s="17">
        <v>45658</v>
      </c>
      <c r="B3" s="18">
        <v>24000</v>
      </c>
      <c r="C3" s="19">
        <v>19</v>
      </c>
      <c r="D3" s="20">
        <v>-404</v>
      </c>
      <c r="E3" s="20">
        <v>-322</v>
      </c>
      <c r="F3" s="21">
        <v>0.98370000000000002</v>
      </c>
      <c r="G3" s="22" t="s">
        <v>9</v>
      </c>
      <c r="H3" s="23">
        <v>0</v>
      </c>
    </row>
    <row r="4" spans="1:8" x14ac:dyDescent="0.3">
      <c r="A4" s="24">
        <v>45659</v>
      </c>
      <c r="B4" s="25">
        <v>23979</v>
      </c>
      <c r="C4" s="26">
        <v>17.41</v>
      </c>
      <c r="D4" s="27">
        <v>473</v>
      </c>
      <c r="E4" s="27">
        <v>-474</v>
      </c>
      <c r="F4" s="28">
        <v>1.0590999999999999</v>
      </c>
      <c r="G4" s="29" t="s">
        <v>10</v>
      </c>
      <c r="H4" s="30">
        <v>1</v>
      </c>
    </row>
    <row r="5" spans="1:8" x14ac:dyDescent="0.3">
      <c r="A5" s="31">
        <v>45660</v>
      </c>
      <c r="B5" s="32">
        <v>24118.61</v>
      </c>
      <c r="C5" s="33">
        <v>18.559999999999999</v>
      </c>
      <c r="D5" s="34">
        <v>1692</v>
      </c>
      <c r="E5" s="34">
        <v>-1237</v>
      </c>
      <c r="F5" s="35">
        <v>1.0194000000000001</v>
      </c>
      <c r="G5" s="36" t="s">
        <v>11</v>
      </c>
      <c r="H5" s="37">
        <v>1</v>
      </c>
    </row>
    <row r="6" spans="1:8" x14ac:dyDescent="0.3">
      <c r="A6" s="24">
        <v>45661</v>
      </c>
      <c r="B6" s="25">
        <v>24440.2</v>
      </c>
      <c r="C6" s="26">
        <v>21.06</v>
      </c>
      <c r="D6" s="27">
        <v>408</v>
      </c>
      <c r="E6" s="27">
        <v>-472</v>
      </c>
      <c r="F6" s="28">
        <v>0.95309999999999995</v>
      </c>
      <c r="G6" s="29" t="s">
        <v>12</v>
      </c>
      <c r="H6" s="30">
        <v>1</v>
      </c>
    </row>
    <row r="7" spans="1:8" x14ac:dyDescent="0.3">
      <c r="A7" s="31">
        <v>45662</v>
      </c>
      <c r="B7" s="32">
        <v>24398.92</v>
      </c>
      <c r="C7" s="33">
        <v>22.05</v>
      </c>
      <c r="D7" s="34">
        <v>179</v>
      </c>
      <c r="E7" s="34">
        <v>646</v>
      </c>
      <c r="F7" s="35">
        <v>0.8831</v>
      </c>
      <c r="G7" s="36" t="s">
        <v>13</v>
      </c>
      <c r="H7" s="38">
        <v>0</v>
      </c>
    </row>
    <row r="8" spans="1:8" x14ac:dyDescent="0.3">
      <c r="A8" s="24">
        <v>45663</v>
      </c>
      <c r="B8" s="25">
        <v>24357.72</v>
      </c>
      <c r="C8" s="26">
        <v>19.899999999999999</v>
      </c>
      <c r="D8" s="27">
        <v>-549</v>
      </c>
      <c r="E8" s="27">
        <v>-28</v>
      </c>
      <c r="F8" s="28">
        <v>1.0123</v>
      </c>
      <c r="G8" s="29" t="s">
        <v>14</v>
      </c>
      <c r="H8" s="39">
        <v>0</v>
      </c>
    </row>
    <row r="9" spans="1:8" x14ac:dyDescent="0.3">
      <c r="A9" s="31">
        <v>45664</v>
      </c>
      <c r="B9" s="32">
        <v>24694.29</v>
      </c>
      <c r="C9" s="33">
        <v>19.170000000000002</v>
      </c>
      <c r="D9" s="34">
        <v>999</v>
      </c>
      <c r="E9" s="34">
        <v>1067</v>
      </c>
      <c r="F9" s="35">
        <v>0.96479999999999999</v>
      </c>
      <c r="G9" s="36" t="s">
        <v>15</v>
      </c>
      <c r="H9" s="40">
        <v>-1</v>
      </c>
    </row>
    <row r="10" spans="1:8" x14ac:dyDescent="0.3">
      <c r="A10" s="24">
        <v>45665</v>
      </c>
      <c r="B10" s="25">
        <v>24863.360000000001</v>
      </c>
      <c r="C10" s="26">
        <v>20.6</v>
      </c>
      <c r="D10" s="27">
        <v>287</v>
      </c>
      <c r="E10" s="27">
        <v>318</v>
      </c>
      <c r="F10" s="28">
        <v>1.0464</v>
      </c>
      <c r="G10" s="29" t="s">
        <v>16</v>
      </c>
      <c r="H10" s="39">
        <v>0</v>
      </c>
    </row>
    <row r="11" spans="1:8" x14ac:dyDescent="0.3">
      <c r="A11" s="31">
        <v>45666</v>
      </c>
      <c r="B11" s="32">
        <v>24771.77</v>
      </c>
      <c r="C11" s="33">
        <v>19.54</v>
      </c>
      <c r="D11" s="34">
        <v>-866</v>
      </c>
      <c r="E11" s="34">
        <v>682</v>
      </c>
      <c r="F11" s="35">
        <v>0.99929999999999997</v>
      </c>
      <c r="G11" s="36" t="s">
        <v>17</v>
      </c>
      <c r="H11" s="40">
        <v>-1</v>
      </c>
    </row>
    <row r="12" spans="1:8" x14ac:dyDescent="0.3">
      <c r="A12" s="24">
        <v>45667</v>
      </c>
      <c r="B12" s="25">
        <v>24893.74</v>
      </c>
      <c r="C12" s="26">
        <v>19.95</v>
      </c>
      <c r="D12" s="27">
        <v>491</v>
      </c>
      <c r="E12" s="27">
        <v>-450</v>
      </c>
      <c r="F12" s="28">
        <v>1.0551999999999999</v>
      </c>
      <c r="G12" s="29" t="s">
        <v>18</v>
      </c>
      <c r="H12" s="39">
        <v>0</v>
      </c>
    </row>
    <row r="13" spans="1:8" x14ac:dyDescent="0.3">
      <c r="A13" s="31">
        <v>45668</v>
      </c>
      <c r="B13" s="32">
        <v>24803.32</v>
      </c>
      <c r="C13" s="33">
        <v>20.72</v>
      </c>
      <c r="D13" s="34">
        <v>-841</v>
      </c>
      <c r="E13" s="34">
        <v>929</v>
      </c>
      <c r="F13" s="35">
        <v>0.87660000000000005</v>
      </c>
      <c r="G13" s="36" t="s">
        <v>19</v>
      </c>
      <c r="H13" s="37">
        <v>1</v>
      </c>
    </row>
    <row r="14" spans="1:8" x14ac:dyDescent="0.3">
      <c r="A14" s="24">
        <v>45669</v>
      </c>
      <c r="B14" s="25">
        <v>24712.74</v>
      </c>
      <c r="C14" s="26">
        <v>19.39</v>
      </c>
      <c r="D14" s="27">
        <v>-182</v>
      </c>
      <c r="E14" s="27">
        <v>-6</v>
      </c>
      <c r="F14" s="28">
        <v>1.0789</v>
      </c>
      <c r="G14" s="29" t="s">
        <v>20</v>
      </c>
      <c r="H14" s="30">
        <v>1</v>
      </c>
    </row>
    <row r="15" spans="1:8" x14ac:dyDescent="0.3">
      <c r="A15" s="31">
        <v>45670</v>
      </c>
      <c r="B15" s="32">
        <v>24771.05</v>
      </c>
      <c r="C15" s="33">
        <v>19.21</v>
      </c>
      <c r="D15" s="34">
        <v>192</v>
      </c>
      <c r="E15" s="34">
        <v>175</v>
      </c>
      <c r="F15" s="35">
        <v>0.94189999999999996</v>
      </c>
      <c r="G15" s="36" t="s">
        <v>21</v>
      </c>
      <c r="H15" s="38">
        <v>0</v>
      </c>
    </row>
    <row r="16" spans="1:8" x14ac:dyDescent="0.3">
      <c r="A16" s="24">
        <v>45671</v>
      </c>
      <c r="B16" s="25">
        <v>24378.77</v>
      </c>
      <c r="C16" s="26">
        <v>15.22</v>
      </c>
      <c r="D16" s="27">
        <v>-1646</v>
      </c>
      <c r="E16" s="27">
        <v>2221</v>
      </c>
      <c r="F16" s="28">
        <v>1.1073</v>
      </c>
      <c r="G16" s="29" t="s">
        <v>22</v>
      </c>
      <c r="H16" s="41">
        <v>-1</v>
      </c>
    </row>
    <row r="17" spans="1:8" x14ac:dyDescent="0.3">
      <c r="A17" s="31">
        <v>45672</v>
      </c>
      <c r="B17" s="32">
        <v>24031.15</v>
      </c>
      <c r="C17" s="33">
        <v>14.21</v>
      </c>
      <c r="D17" s="34">
        <v>-1896</v>
      </c>
      <c r="E17" s="34">
        <v>1005</v>
      </c>
      <c r="F17" s="35">
        <v>0.76039999999999996</v>
      </c>
      <c r="G17" s="36" t="s">
        <v>23</v>
      </c>
      <c r="H17" s="37">
        <v>1</v>
      </c>
    </row>
    <row r="18" spans="1:8" x14ac:dyDescent="0.3">
      <c r="A18" s="24">
        <v>45673</v>
      </c>
      <c r="B18" s="25">
        <v>23923.74</v>
      </c>
      <c r="C18" s="26">
        <v>14.21</v>
      </c>
      <c r="D18" s="27">
        <v>-768</v>
      </c>
      <c r="E18" s="27">
        <v>1120</v>
      </c>
      <c r="F18" s="28">
        <v>1.0515000000000001</v>
      </c>
      <c r="G18" s="29" t="s">
        <v>24</v>
      </c>
      <c r="H18" s="41">
        <v>-1</v>
      </c>
    </row>
    <row r="19" spans="1:8" x14ac:dyDescent="0.3">
      <c r="A19" s="31">
        <v>45674</v>
      </c>
      <c r="B19" s="32">
        <v>23725.78</v>
      </c>
      <c r="C19" s="33">
        <v>13.02</v>
      </c>
      <c r="D19" s="34">
        <v>-329</v>
      </c>
      <c r="E19" s="34">
        <v>-4</v>
      </c>
      <c r="F19" s="35">
        <v>0.84899999999999998</v>
      </c>
      <c r="G19" s="36" t="s">
        <v>25</v>
      </c>
      <c r="H19" s="38">
        <v>0</v>
      </c>
    </row>
    <row r="20" spans="1:8" x14ac:dyDescent="0.3">
      <c r="A20" s="24">
        <v>45675</v>
      </c>
      <c r="B20" s="25">
        <v>23796.38</v>
      </c>
      <c r="C20" s="26">
        <v>15.38</v>
      </c>
      <c r="D20" s="27">
        <v>580</v>
      </c>
      <c r="E20" s="27">
        <v>-78</v>
      </c>
      <c r="F20" s="28">
        <v>0.78249999999999997</v>
      </c>
      <c r="G20" s="29" t="s">
        <v>26</v>
      </c>
      <c r="H20" s="41">
        <v>-1</v>
      </c>
    </row>
    <row r="21" spans="1:8" x14ac:dyDescent="0.3">
      <c r="A21" s="31">
        <v>45676</v>
      </c>
      <c r="B21" s="32">
        <v>23620.51</v>
      </c>
      <c r="C21" s="33">
        <v>13.87</v>
      </c>
      <c r="D21" s="34">
        <v>-1285</v>
      </c>
      <c r="E21" s="34">
        <v>1664</v>
      </c>
      <c r="F21" s="35">
        <v>0.78</v>
      </c>
      <c r="G21" s="36" t="s">
        <v>27</v>
      </c>
      <c r="H21" s="38">
        <v>0</v>
      </c>
    </row>
    <row r="22" spans="1:8" x14ac:dyDescent="0.3">
      <c r="A22" s="24">
        <v>45677</v>
      </c>
      <c r="B22" s="25">
        <v>23345.65</v>
      </c>
      <c r="C22" s="26">
        <v>13.67</v>
      </c>
      <c r="D22" s="27">
        <v>-1042</v>
      </c>
      <c r="E22" s="27">
        <v>355</v>
      </c>
      <c r="F22" s="28">
        <v>0.79659999999999997</v>
      </c>
      <c r="G22" s="29" t="s">
        <v>28</v>
      </c>
      <c r="H22" s="41">
        <v>-1</v>
      </c>
    </row>
    <row r="23" spans="1:8" x14ac:dyDescent="0.3">
      <c r="A23" s="31">
        <v>45678</v>
      </c>
      <c r="B23" s="32">
        <v>23645.4</v>
      </c>
      <c r="C23" s="33">
        <v>14.17</v>
      </c>
      <c r="D23" s="34">
        <v>1652</v>
      </c>
      <c r="E23" s="34">
        <v>363</v>
      </c>
      <c r="F23" s="35">
        <v>0.89339999999999997</v>
      </c>
      <c r="G23" s="36" t="s">
        <v>29</v>
      </c>
      <c r="H23" s="38">
        <v>0</v>
      </c>
    </row>
    <row r="24" spans="1:8" x14ac:dyDescent="0.3">
      <c r="A24" s="24">
        <v>45679</v>
      </c>
      <c r="B24" s="25">
        <v>23607.15</v>
      </c>
      <c r="C24" s="26">
        <v>16.21</v>
      </c>
      <c r="D24" s="27">
        <v>-1154</v>
      </c>
      <c r="E24" s="27">
        <v>1073</v>
      </c>
      <c r="F24" s="28">
        <v>0.93589999999999995</v>
      </c>
      <c r="G24" s="29" t="s">
        <v>30</v>
      </c>
      <c r="H24" s="41">
        <v>-1</v>
      </c>
    </row>
    <row r="25" spans="1:8" x14ac:dyDescent="0.3">
      <c r="A25" s="31">
        <v>45680</v>
      </c>
      <c r="B25" s="32">
        <v>23627.79</v>
      </c>
      <c r="C25" s="33">
        <v>14.63</v>
      </c>
      <c r="D25" s="34">
        <v>408</v>
      </c>
      <c r="E25" s="34">
        <v>-265</v>
      </c>
      <c r="F25" s="35">
        <v>0.78059999999999996</v>
      </c>
      <c r="G25" s="36" t="s">
        <v>31</v>
      </c>
      <c r="H25" s="40">
        <v>-1</v>
      </c>
    </row>
    <row r="26" spans="1:8" x14ac:dyDescent="0.3">
      <c r="A26" s="24">
        <v>45681</v>
      </c>
      <c r="B26" s="25">
        <v>23350.38</v>
      </c>
      <c r="C26" s="26">
        <v>16.3</v>
      </c>
      <c r="D26" s="27">
        <v>-1509</v>
      </c>
      <c r="E26" s="27">
        <v>1195</v>
      </c>
      <c r="F26" s="28">
        <v>0.87160000000000004</v>
      </c>
      <c r="G26" s="29" t="s">
        <v>32</v>
      </c>
      <c r="H26" s="39">
        <v>0</v>
      </c>
    </row>
    <row r="27" spans="1:8" x14ac:dyDescent="0.3">
      <c r="A27" s="31">
        <v>45682</v>
      </c>
      <c r="B27" s="32">
        <v>23249.56</v>
      </c>
      <c r="C27" s="33">
        <v>16.45</v>
      </c>
      <c r="D27" s="34">
        <v>-65</v>
      </c>
      <c r="E27" s="34">
        <v>716</v>
      </c>
      <c r="F27" s="35">
        <v>1.1337999999999999</v>
      </c>
      <c r="G27" s="36" t="s">
        <v>33</v>
      </c>
      <c r="H27" s="38">
        <v>0</v>
      </c>
    </row>
    <row r="28" spans="1:8" x14ac:dyDescent="0.3">
      <c r="A28" s="24">
        <v>45683</v>
      </c>
      <c r="B28" s="25">
        <v>23278.47</v>
      </c>
      <c r="C28" s="26">
        <v>15.4</v>
      </c>
      <c r="D28" s="27">
        <v>-341</v>
      </c>
      <c r="E28" s="27">
        <v>664</v>
      </c>
      <c r="F28" s="28">
        <v>1.0683</v>
      </c>
      <c r="G28" s="29" t="s">
        <v>34</v>
      </c>
      <c r="H28" s="30">
        <v>1</v>
      </c>
    </row>
    <row r="29" spans="1:8" x14ac:dyDescent="0.3">
      <c r="A29" s="31">
        <v>45684</v>
      </c>
      <c r="B29" s="32">
        <v>23058.75</v>
      </c>
      <c r="C29" s="33">
        <v>16.16</v>
      </c>
      <c r="D29" s="34">
        <v>-1975</v>
      </c>
      <c r="E29" s="34">
        <v>304</v>
      </c>
      <c r="F29" s="35">
        <v>0.92479999999999996</v>
      </c>
      <c r="G29" s="36" t="s">
        <v>35</v>
      </c>
      <c r="H29" s="37">
        <v>1</v>
      </c>
    </row>
    <row r="30" spans="1:8" x14ac:dyDescent="0.3">
      <c r="A30" s="24">
        <v>45685</v>
      </c>
      <c r="B30" s="25">
        <v>23139.45</v>
      </c>
      <c r="C30" s="26">
        <v>16.55</v>
      </c>
      <c r="D30" s="27">
        <v>-648</v>
      </c>
      <c r="E30" s="27">
        <v>128</v>
      </c>
      <c r="F30" s="28">
        <v>0.88280000000000003</v>
      </c>
      <c r="G30" s="29" t="s">
        <v>36</v>
      </c>
      <c r="H30" s="30">
        <v>1</v>
      </c>
    </row>
    <row r="31" spans="1:8" x14ac:dyDescent="0.3">
      <c r="A31" s="31">
        <v>45686</v>
      </c>
      <c r="B31" s="32">
        <v>23028.52</v>
      </c>
      <c r="C31" s="33">
        <v>15.95</v>
      </c>
      <c r="D31" s="34">
        <v>-423</v>
      </c>
      <c r="E31" s="34">
        <v>267</v>
      </c>
      <c r="F31" s="35">
        <v>0.88370000000000004</v>
      </c>
      <c r="G31" s="36" t="s">
        <v>37</v>
      </c>
      <c r="H31" s="37">
        <v>1</v>
      </c>
    </row>
    <row r="32" spans="1:8" x14ac:dyDescent="0.3">
      <c r="A32" s="24">
        <v>45687</v>
      </c>
      <c r="B32" s="25">
        <v>22978.39</v>
      </c>
      <c r="C32" s="26">
        <v>16.2</v>
      </c>
      <c r="D32" s="27">
        <v>-49</v>
      </c>
      <c r="E32" s="27">
        <v>185</v>
      </c>
      <c r="F32" s="28">
        <v>0.9466</v>
      </c>
      <c r="G32" s="29" t="s">
        <v>38</v>
      </c>
      <c r="H32" s="30">
        <v>1</v>
      </c>
    </row>
    <row r="33" spans="1:8" x14ac:dyDescent="0.3">
      <c r="A33" s="31">
        <v>45688</v>
      </c>
      <c r="B33" s="32">
        <v>22868.03</v>
      </c>
      <c r="C33" s="33">
        <v>15.88</v>
      </c>
      <c r="D33" s="34">
        <v>-996</v>
      </c>
      <c r="E33" s="34">
        <v>959</v>
      </c>
      <c r="F33" s="35">
        <v>0.74550000000000005</v>
      </c>
      <c r="G33" s="36" t="s">
        <v>39</v>
      </c>
      <c r="H33" s="40">
        <v>-1</v>
      </c>
    </row>
    <row r="34" spans="1:8" x14ac:dyDescent="0.3">
      <c r="A34" s="24">
        <v>45689</v>
      </c>
      <c r="B34" s="25">
        <v>23237.89</v>
      </c>
      <c r="C34" s="26">
        <v>16.190000000000001</v>
      </c>
      <c r="D34" s="27">
        <v>1893</v>
      </c>
      <c r="E34" s="27">
        <v>-563</v>
      </c>
      <c r="F34" s="28">
        <v>0.84199999999999997</v>
      </c>
      <c r="G34" s="29" t="s">
        <v>40</v>
      </c>
      <c r="H34" s="41">
        <v>-1</v>
      </c>
    </row>
    <row r="35" spans="1:8" x14ac:dyDescent="0.3">
      <c r="A35" s="31">
        <v>45690</v>
      </c>
      <c r="B35" s="32">
        <v>23242.2</v>
      </c>
      <c r="C35" s="33">
        <v>17.13</v>
      </c>
      <c r="D35" s="34">
        <v>-979</v>
      </c>
      <c r="E35" s="34">
        <v>-27</v>
      </c>
      <c r="F35" s="35">
        <v>0.68669999999999998</v>
      </c>
      <c r="G35" s="36" t="s">
        <v>41</v>
      </c>
      <c r="H35" s="38">
        <v>0</v>
      </c>
    </row>
    <row r="36" spans="1:8" x14ac:dyDescent="0.3">
      <c r="A36" s="24">
        <v>45691</v>
      </c>
      <c r="B36" s="25">
        <v>23041.09</v>
      </c>
      <c r="C36" s="26">
        <v>19.100000000000001</v>
      </c>
      <c r="D36" s="27">
        <v>-858</v>
      </c>
      <c r="E36" s="27">
        <v>776</v>
      </c>
      <c r="F36" s="28">
        <v>0.96440000000000003</v>
      </c>
      <c r="G36" s="29" t="s">
        <v>42</v>
      </c>
      <c r="H36" s="30">
        <v>1</v>
      </c>
    </row>
    <row r="37" spans="1:8" x14ac:dyDescent="0.3">
      <c r="A37" s="31">
        <v>45692</v>
      </c>
      <c r="B37" s="32">
        <v>23209.71</v>
      </c>
      <c r="C37" s="33">
        <v>17.53</v>
      </c>
      <c r="D37" s="34">
        <v>-40</v>
      </c>
      <c r="E37" s="34">
        <v>523</v>
      </c>
      <c r="F37" s="35">
        <v>0.97060000000000002</v>
      </c>
      <c r="G37" s="36" t="s">
        <v>43</v>
      </c>
      <c r="H37" s="40">
        <v>-1</v>
      </c>
    </row>
    <row r="38" spans="1:8" x14ac:dyDescent="0.3">
      <c r="A38" s="24">
        <v>45693</v>
      </c>
      <c r="B38" s="25">
        <v>22977</v>
      </c>
      <c r="C38" s="26">
        <v>20.13</v>
      </c>
      <c r="D38" s="27">
        <v>-1340</v>
      </c>
      <c r="E38" s="27">
        <v>1083</v>
      </c>
      <c r="F38" s="28">
        <v>0.874</v>
      </c>
      <c r="G38" s="29" t="s">
        <v>44</v>
      </c>
      <c r="H38" s="30">
        <v>1</v>
      </c>
    </row>
    <row r="39" spans="1:8" x14ac:dyDescent="0.3">
      <c r="A39" s="31">
        <v>45694</v>
      </c>
      <c r="B39" s="32">
        <v>23024.73</v>
      </c>
      <c r="C39" s="33">
        <v>17.62</v>
      </c>
      <c r="D39" s="34">
        <v>224</v>
      </c>
      <c r="E39" s="34">
        <v>640</v>
      </c>
      <c r="F39" s="35">
        <v>1.0831999999999999</v>
      </c>
      <c r="G39" s="36" t="s">
        <v>45</v>
      </c>
      <c r="H39" s="38">
        <v>0</v>
      </c>
    </row>
    <row r="40" spans="1:8" x14ac:dyDescent="0.3">
      <c r="A40" s="24">
        <v>45695</v>
      </c>
      <c r="B40" s="25">
        <v>22651.17</v>
      </c>
      <c r="C40" s="26">
        <v>17.47</v>
      </c>
      <c r="D40" s="27">
        <v>-2056</v>
      </c>
      <c r="E40" s="27">
        <v>1542</v>
      </c>
      <c r="F40" s="28">
        <v>0.745</v>
      </c>
      <c r="G40" s="29" t="s">
        <v>46</v>
      </c>
      <c r="H40" s="30">
        <v>1</v>
      </c>
    </row>
    <row r="41" spans="1:8" x14ac:dyDescent="0.3">
      <c r="A41" s="31">
        <v>45696</v>
      </c>
      <c r="B41" s="32">
        <v>22403.61</v>
      </c>
      <c r="C41" s="33">
        <v>18.22</v>
      </c>
      <c r="D41" s="34">
        <v>-1265</v>
      </c>
      <c r="E41" s="34">
        <v>999</v>
      </c>
      <c r="F41" s="35">
        <v>0.72760000000000002</v>
      </c>
      <c r="G41" s="36" t="s">
        <v>47</v>
      </c>
      <c r="H41" s="38">
        <v>0</v>
      </c>
    </row>
    <row r="42" spans="1:8" x14ac:dyDescent="0.3">
      <c r="A42" s="24">
        <v>45697</v>
      </c>
      <c r="B42" s="25">
        <v>22447.86</v>
      </c>
      <c r="C42" s="26">
        <v>18.54</v>
      </c>
      <c r="D42" s="27">
        <v>789</v>
      </c>
      <c r="E42" s="27">
        <v>-190</v>
      </c>
      <c r="F42" s="28">
        <v>0.93500000000000005</v>
      </c>
      <c r="G42" s="29" t="s">
        <v>48</v>
      </c>
      <c r="H42" s="30">
        <v>1</v>
      </c>
    </row>
    <row r="43" spans="1:8" x14ac:dyDescent="0.3">
      <c r="A43" s="31">
        <v>45698</v>
      </c>
      <c r="B43" s="32">
        <v>22595.99</v>
      </c>
      <c r="C43" s="33">
        <v>17.75</v>
      </c>
      <c r="D43" s="34">
        <v>273</v>
      </c>
      <c r="E43" s="34">
        <v>-753</v>
      </c>
      <c r="F43" s="35">
        <v>1.0219</v>
      </c>
      <c r="G43" s="36" t="s">
        <v>49</v>
      </c>
      <c r="H43" s="40">
        <v>-1</v>
      </c>
    </row>
    <row r="44" spans="1:8" x14ac:dyDescent="0.3">
      <c r="A44" s="24">
        <v>45699</v>
      </c>
      <c r="B44" s="25">
        <v>22635.72</v>
      </c>
      <c r="C44" s="26">
        <v>17.52</v>
      </c>
      <c r="D44" s="27">
        <v>667</v>
      </c>
      <c r="E44" s="27">
        <v>115</v>
      </c>
      <c r="F44" s="28">
        <v>1.0949</v>
      </c>
      <c r="G44" s="29" t="s">
        <v>50</v>
      </c>
      <c r="H44" s="39">
        <v>0</v>
      </c>
    </row>
    <row r="45" spans="1:8" x14ac:dyDescent="0.3">
      <c r="A45" s="31">
        <v>45700</v>
      </c>
      <c r="B45" s="32">
        <v>22620.26</v>
      </c>
      <c r="C45" s="33">
        <v>16.97</v>
      </c>
      <c r="D45" s="34">
        <v>-742</v>
      </c>
      <c r="E45" s="34">
        <v>638</v>
      </c>
      <c r="F45" s="35">
        <v>0.82950000000000002</v>
      </c>
      <c r="G45" s="36" t="s">
        <v>51</v>
      </c>
      <c r="H45" s="40">
        <v>-1</v>
      </c>
    </row>
    <row r="46" spans="1:8" x14ac:dyDescent="0.3">
      <c r="A46" s="24">
        <v>45701</v>
      </c>
      <c r="B46" s="25">
        <v>22569.21</v>
      </c>
      <c r="C46" s="26">
        <v>16.350000000000001</v>
      </c>
      <c r="D46" s="27">
        <v>105</v>
      </c>
      <c r="E46" s="27">
        <v>289</v>
      </c>
      <c r="F46" s="28">
        <v>1.0046999999999999</v>
      </c>
      <c r="G46" s="29" t="s">
        <v>52</v>
      </c>
      <c r="H46" s="41">
        <v>-1</v>
      </c>
    </row>
    <row r="47" spans="1:8" x14ac:dyDescent="0.3">
      <c r="A47" s="31">
        <v>45702</v>
      </c>
      <c r="B47" s="32">
        <v>22294.03</v>
      </c>
      <c r="C47" s="33">
        <v>17.5</v>
      </c>
      <c r="D47" s="34">
        <v>-290</v>
      </c>
      <c r="E47" s="34">
        <v>-308</v>
      </c>
      <c r="F47" s="35">
        <v>0.88790000000000002</v>
      </c>
      <c r="G47" s="36" t="s">
        <v>53</v>
      </c>
      <c r="H47" s="37">
        <v>1</v>
      </c>
    </row>
    <row r="48" spans="1:8" x14ac:dyDescent="0.3">
      <c r="A48" s="24">
        <v>45703</v>
      </c>
      <c r="B48" s="25">
        <v>22164.68</v>
      </c>
      <c r="C48" s="26">
        <v>17.97</v>
      </c>
      <c r="D48" s="27">
        <v>-2031</v>
      </c>
      <c r="E48" s="27">
        <v>573</v>
      </c>
      <c r="F48" s="28">
        <v>0.87880000000000003</v>
      </c>
      <c r="G48" s="29" t="s">
        <v>54</v>
      </c>
      <c r="H48" s="30">
        <v>1</v>
      </c>
    </row>
    <row r="49" spans="1:8" x14ac:dyDescent="0.3">
      <c r="A49" s="31">
        <v>45704</v>
      </c>
      <c r="B49" s="32">
        <v>22084.69</v>
      </c>
      <c r="C49" s="33">
        <v>17.14</v>
      </c>
      <c r="D49" s="34">
        <v>-818</v>
      </c>
      <c r="E49" s="34">
        <v>1095</v>
      </c>
      <c r="F49" s="35">
        <v>0.99309999999999998</v>
      </c>
      <c r="G49" s="36" t="s">
        <v>55</v>
      </c>
      <c r="H49" s="40">
        <v>-1</v>
      </c>
    </row>
    <row r="50" spans="1:8" x14ac:dyDescent="0.3">
      <c r="A50" s="24">
        <v>45705</v>
      </c>
      <c r="B50" s="25">
        <v>22290.71</v>
      </c>
      <c r="C50" s="26">
        <v>18.29</v>
      </c>
      <c r="D50" s="27">
        <v>1220</v>
      </c>
      <c r="E50" s="27">
        <v>-369</v>
      </c>
      <c r="F50" s="28">
        <v>0.98260000000000003</v>
      </c>
      <c r="G50" s="29" t="s">
        <v>56</v>
      </c>
      <c r="H50" s="30">
        <v>1</v>
      </c>
    </row>
    <row r="51" spans="1:8" x14ac:dyDescent="0.3">
      <c r="A51" s="31">
        <v>45706</v>
      </c>
      <c r="B51" s="32">
        <v>22362.62</v>
      </c>
      <c r="C51" s="33">
        <v>18.64</v>
      </c>
      <c r="D51" s="34">
        <v>181</v>
      </c>
      <c r="E51" s="34">
        <v>459</v>
      </c>
      <c r="F51" s="35">
        <v>0.72040000000000004</v>
      </c>
      <c r="G51" s="36" t="s">
        <v>57</v>
      </c>
      <c r="H51" s="37">
        <v>1</v>
      </c>
    </row>
    <row r="52" spans="1:8" x14ac:dyDescent="0.3">
      <c r="A52" s="24">
        <v>45707</v>
      </c>
      <c r="B52" s="25">
        <v>22036.61</v>
      </c>
      <c r="C52" s="26">
        <v>19.559999999999999</v>
      </c>
      <c r="D52" s="27">
        <v>-1160</v>
      </c>
      <c r="E52" s="27">
        <v>736</v>
      </c>
      <c r="F52" s="28">
        <v>1.1006</v>
      </c>
      <c r="G52" s="29" t="s">
        <v>58</v>
      </c>
      <c r="H52" s="39">
        <v>0</v>
      </c>
    </row>
    <row r="53" spans="1:8" x14ac:dyDescent="0.3">
      <c r="A53" s="31">
        <v>45708</v>
      </c>
      <c r="B53" s="32">
        <v>22104.03</v>
      </c>
      <c r="C53" s="33">
        <v>20.190000000000001</v>
      </c>
      <c r="D53" s="34">
        <v>-75</v>
      </c>
      <c r="E53" s="34">
        <v>249</v>
      </c>
      <c r="F53" s="35">
        <v>1.0985</v>
      </c>
      <c r="G53" s="36" t="s">
        <v>59</v>
      </c>
      <c r="H53" s="37">
        <v>1</v>
      </c>
    </row>
    <row r="54" spans="1:8" x14ac:dyDescent="0.3">
      <c r="A54" s="24">
        <v>45709</v>
      </c>
      <c r="B54" s="25">
        <v>22038.41</v>
      </c>
      <c r="C54" s="26">
        <v>19.02</v>
      </c>
      <c r="D54" s="27">
        <v>-228</v>
      </c>
      <c r="E54" s="27">
        <v>772</v>
      </c>
      <c r="F54" s="28">
        <v>0.84019999999999995</v>
      </c>
      <c r="G54" s="29" t="s">
        <v>60</v>
      </c>
      <c r="H54" s="30">
        <v>1</v>
      </c>
    </row>
    <row r="55" spans="1:8" x14ac:dyDescent="0.3">
      <c r="A55" s="31">
        <v>45710</v>
      </c>
      <c r="B55" s="32">
        <v>21918.54</v>
      </c>
      <c r="C55" s="33">
        <v>18.27</v>
      </c>
      <c r="D55" s="34">
        <v>-607</v>
      </c>
      <c r="E55" s="34">
        <v>215</v>
      </c>
      <c r="F55" s="35">
        <v>0.95150000000000001</v>
      </c>
      <c r="G55" s="36" t="s">
        <v>61</v>
      </c>
      <c r="H55" s="37">
        <v>1</v>
      </c>
    </row>
    <row r="56" spans="1:8" x14ac:dyDescent="0.3">
      <c r="A56" s="24">
        <v>45711</v>
      </c>
      <c r="B56" s="25">
        <v>22039.41</v>
      </c>
      <c r="C56" s="26">
        <v>19.149999999999999</v>
      </c>
      <c r="D56" s="27">
        <v>1218</v>
      </c>
      <c r="E56" s="27">
        <v>-300</v>
      </c>
      <c r="F56" s="28">
        <v>0.97650000000000003</v>
      </c>
      <c r="G56" s="29" t="s">
        <v>62</v>
      </c>
      <c r="H56" s="30">
        <v>1</v>
      </c>
    </row>
    <row r="57" spans="1:8" x14ac:dyDescent="0.3">
      <c r="A57" s="31">
        <v>45712</v>
      </c>
      <c r="B57" s="32">
        <v>22240.07</v>
      </c>
      <c r="C57" s="33">
        <v>19.79</v>
      </c>
      <c r="D57" s="34">
        <v>1006</v>
      </c>
      <c r="E57" s="34">
        <v>-484</v>
      </c>
      <c r="F57" s="35">
        <v>0.95809999999999995</v>
      </c>
      <c r="G57" s="36" t="s">
        <v>63</v>
      </c>
      <c r="H57" s="37">
        <v>1</v>
      </c>
    </row>
    <row r="58" spans="1:8" x14ac:dyDescent="0.3">
      <c r="A58" s="24">
        <v>45713</v>
      </c>
      <c r="B58" s="25">
        <v>22423.54</v>
      </c>
      <c r="C58" s="26">
        <v>19.62</v>
      </c>
      <c r="D58" s="27">
        <v>976</v>
      </c>
      <c r="E58" s="27">
        <v>-456</v>
      </c>
      <c r="F58" s="28">
        <v>0.85829999999999995</v>
      </c>
      <c r="G58" s="29" t="s">
        <v>64</v>
      </c>
      <c r="H58" s="39">
        <v>0</v>
      </c>
    </row>
    <row r="59" spans="1:8" x14ac:dyDescent="0.3">
      <c r="A59" s="31">
        <v>45714</v>
      </c>
      <c r="B59" s="32">
        <v>22270.83</v>
      </c>
      <c r="C59" s="33">
        <v>19.63</v>
      </c>
      <c r="D59" s="34">
        <v>-890</v>
      </c>
      <c r="E59" s="34">
        <v>446</v>
      </c>
      <c r="F59" s="35">
        <v>0.84389999999999998</v>
      </c>
      <c r="G59" s="36" t="s">
        <v>65</v>
      </c>
      <c r="H59" s="38">
        <v>0</v>
      </c>
    </row>
    <row r="60" spans="1:8" x14ac:dyDescent="0.3">
      <c r="A60" s="24">
        <v>45715</v>
      </c>
      <c r="B60" s="25">
        <v>22219.040000000001</v>
      </c>
      <c r="C60" s="26">
        <v>21.03</v>
      </c>
      <c r="D60" s="27">
        <v>-512</v>
      </c>
      <c r="E60" s="27">
        <v>541</v>
      </c>
      <c r="F60" s="28">
        <v>0.94240000000000002</v>
      </c>
      <c r="G60" s="29" t="s">
        <v>66</v>
      </c>
      <c r="H60" s="30">
        <v>1</v>
      </c>
    </row>
    <row r="61" spans="1:8" x14ac:dyDescent="0.3">
      <c r="A61" s="31">
        <v>45716</v>
      </c>
      <c r="B61" s="32">
        <v>22288.38</v>
      </c>
      <c r="C61" s="33">
        <v>20.079999999999998</v>
      </c>
      <c r="D61" s="34">
        <v>34</v>
      </c>
      <c r="E61" s="34">
        <v>-55</v>
      </c>
      <c r="F61" s="35">
        <v>1.0719000000000001</v>
      </c>
      <c r="G61" s="36" t="s">
        <v>67</v>
      </c>
      <c r="H61" s="37">
        <v>1</v>
      </c>
    </row>
    <row r="62" spans="1:8" x14ac:dyDescent="0.3">
      <c r="A62" s="24">
        <v>45717</v>
      </c>
      <c r="B62" s="25">
        <v>22480.71</v>
      </c>
      <c r="C62" s="26">
        <v>20.57</v>
      </c>
      <c r="D62" s="27">
        <v>1045</v>
      </c>
      <c r="E62" s="27">
        <v>358</v>
      </c>
      <c r="F62" s="28">
        <v>1.0038</v>
      </c>
      <c r="G62" s="29" t="s">
        <v>68</v>
      </c>
      <c r="H62" s="30">
        <v>1</v>
      </c>
    </row>
    <row r="63" spans="1:8" x14ac:dyDescent="0.3">
      <c r="A63" s="31">
        <v>45718</v>
      </c>
      <c r="B63" s="32">
        <v>22396.05</v>
      </c>
      <c r="C63" s="33">
        <v>20.12</v>
      </c>
      <c r="D63" s="34">
        <v>-608</v>
      </c>
      <c r="E63" s="34">
        <v>26</v>
      </c>
      <c r="F63" s="35">
        <v>0.88729999999999998</v>
      </c>
      <c r="G63" s="36" t="s">
        <v>69</v>
      </c>
      <c r="H63" s="37">
        <v>1</v>
      </c>
    </row>
    <row r="64" spans="1:8" x14ac:dyDescent="0.3">
      <c r="A64" s="24">
        <v>45719</v>
      </c>
      <c r="B64" s="25">
        <v>22367.439999999999</v>
      </c>
      <c r="C64" s="26">
        <v>19.690000000000001</v>
      </c>
      <c r="D64" s="27">
        <v>54</v>
      </c>
      <c r="E64" s="27">
        <v>82</v>
      </c>
      <c r="F64" s="28">
        <v>1.018</v>
      </c>
      <c r="G64" s="29" t="s">
        <v>70</v>
      </c>
      <c r="H64" s="30">
        <v>1</v>
      </c>
    </row>
    <row r="65" spans="1:8" x14ac:dyDescent="0.3">
      <c r="A65" s="31">
        <v>45720</v>
      </c>
      <c r="B65" s="32">
        <v>22164.73</v>
      </c>
      <c r="C65" s="33">
        <v>20.87</v>
      </c>
      <c r="D65" s="34">
        <v>388</v>
      </c>
      <c r="E65" s="34">
        <v>-194</v>
      </c>
      <c r="F65" s="35">
        <v>0.60119999999999996</v>
      </c>
      <c r="G65" s="36" t="s">
        <v>71</v>
      </c>
      <c r="H65" s="38">
        <v>0</v>
      </c>
    </row>
    <row r="66" spans="1:8" x14ac:dyDescent="0.3">
      <c r="A66" s="24">
        <v>45721</v>
      </c>
      <c r="B66" s="25">
        <v>21947.09</v>
      </c>
      <c r="C66" s="26">
        <v>21.63</v>
      </c>
      <c r="D66" s="27">
        <v>-406</v>
      </c>
      <c r="E66" s="27">
        <v>1106</v>
      </c>
      <c r="F66" s="28">
        <v>1.0923</v>
      </c>
      <c r="G66" s="29" t="s">
        <v>72</v>
      </c>
      <c r="H66" s="41">
        <v>-1</v>
      </c>
    </row>
    <row r="67" spans="1:8" x14ac:dyDescent="0.3">
      <c r="A67" s="31">
        <v>45722</v>
      </c>
      <c r="B67" s="32">
        <v>22105.82</v>
      </c>
      <c r="C67" s="33">
        <v>22.32</v>
      </c>
      <c r="D67" s="34">
        <v>483</v>
      </c>
      <c r="E67" s="34">
        <v>81</v>
      </c>
      <c r="F67" s="35">
        <v>0.75600000000000001</v>
      </c>
      <c r="G67" s="36" t="s">
        <v>73</v>
      </c>
      <c r="H67" s="38">
        <v>0</v>
      </c>
    </row>
    <row r="68" spans="1:8" x14ac:dyDescent="0.3">
      <c r="A68" s="24">
        <v>45723</v>
      </c>
      <c r="B68" s="25">
        <v>22368.84</v>
      </c>
      <c r="C68" s="26">
        <v>23.54</v>
      </c>
      <c r="D68" s="27">
        <v>1834</v>
      </c>
      <c r="E68" s="27">
        <v>-109</v>
      </c>
      <c r="F68" s="28">
        <v>0.93959999999999999</v>
      </c>
      <c r="G68" s="29" t="s">
        <v>74</v>
      </c>
      <c r="H68" s="30">
        <v>1</v>
      </c>
    </row>
    <row r="69" spans="1:8" x14ac:dyDescent="0.3">
      <c r="A69" s="31">
        <v>45724</v>
      </c>
      <c r="B69" s="32">
        <v>22361.86</v>
      </c>
      <c r="C69" s="33">
        <v>23.12</v>
      </c>
      <c r="D69" s="34">
        <v>-274</v>
      </c>
      <c r="E69" s="34">
        <v>-419</v>
      </c>
      <c r="F69" s="35">
        <v>0.84240000000000004</v>
      </c>
      <c r="G69" s="36" t="s">
        <v>75</v>
      </c>
      <c r="H69" s="37">
        <v>1</v>
      </c>
    </row>
    <row r="70" spans="1:8" x14ac:dyDescent="0.3">
      <c r="A70" s="24">
        <v>45725</v>
      </c>
      <c r="B70" s="25">
        <v>22560.19</v>
      </c>
      <c r="C70" s="26">
        <v>23.53</v>
      </c>
      <c r="D70" s="27">
        <v>-392</v>
      </c>
      <c r="E70" s="27">
        <v>510</v>
      </c>
      <c r="F70" s="28">
        <v>0.8276</v>
      </c>
      <c r="G70" s="29" t="s">
        <v>76</v>
      </c>
      <c r="H70" s="30">
        <v>1</v>
      </c>
    </row>
    <row r="71" spans="1:8" x14ac:dyDescent="0.3">
      <c r="A71" s="31">
        <v>45726</v>
      </c>
      <c r="B71" s="32">
        <v>22636.43</v>
      </c>
      <c r="C71" s="33">
        <v>22.72</v>
      </c>
      <c r="D71" s="34">
        <v>-287</v>
      </c>
      <c r="E71" s="34">
        <v>774</v>
      </c>
      <c r="F71" s="35">
        <v>1.1101000000000001</v>
      </c>
      <c r="G71" s="36" t="s">
        <v>77</v>
      </c>
      <c r="H71" s="38">
        <v>0</v>
      </c>
    </row>
    <row r="72" spans="1:8" x14ac:dyDescent="0.3">
      <c r="A72" s="24">
        <v>45727</v>
      </c>
      <c r="B72" s="25">
        <v>22519.4</v>
      </c>
      <c r="C72" s="26">
        <v>22.73</v>
      </c>
      <c r="D72" s="27">
        <v>-1610</v>
      </c>
      <c r="E72" s="27">
        <v>966</v>
      </c>
      <c r="F72" s="28">
        <v>0.91479999999999995</v>
      </c>
      <c r="G72" s="29" t="s">
        <v>78</v>
      </c>
      <c r="H72" s="41">
        <v>-1</v>
      </c>
    </row>
    <row r="73" spans="1:8" x14ac:dyDescent="0.3">
      <c r="A73" s="31">
        <v>45728</v>
      </c>
      <c r="B73" s="32">
        <v>22595.46</v>
      </c>
      <c r="C73" s="33">
        <v>22.2</v>
      </c>
      <c r="D73" s="34">
        <v>106</v>
      </c>
      <c r="E73" s="34">
        <v>685</v>
      </c>
      <c r="F73" s="35">
        <v>1.0045999999999999</v>
      </c>
      <c r="G73" s="36" t="s">
        <v>79</v>
      </c>
      <c r="H73" s="38">
        <v>0</v>
      </c>
    </row>
    <row r="74" spans="1:8" x14ac:dyDescent="0.3">
      <c r="A74" s="24">
        <v>45729</v>
      </c>
      <c r="B74" s="25">
        <v>22899.67</v>
      </c>
      <c r="C74" s="26">
        <v>21.98</v>
      </c>
      <c r="D74" s="27">
        <v>1270</v>
      </c>
      <c r="E74" s="27">
        <v>-630</v>
      </c>
      <c r="F74" s="28">
        <v>0.95409999999999995</v>
      </c>
      <c r="G74" s="29" t="s">
        <v>80</v>
      </c>
      <c r="H74" s="30">
        <v>1</v>
      </c>
    </row>
    <row r="75" spans="1:8" x14ac:dyDescent="0.3">
      <c r="A75" s="31">
        <v>45730</v>
      </c>
      <c r="B75" s="32">
        <v>22899.57</v>
      </c>
      <c r="C75" s="33">
        <v>22.38</v>
      </c>
      <c r="D75" s="34">
        <v>1005</v>
      </c>
      <c r="E75" s="34">
        <v>452</v>
      </c>
      <c r="F75" s="35">
        <v>1.0228999999999999</v>
      </c>
      <c r="G75" s="36" t="s">
        <v>81</v>
      </c>
      <c r="H75" s="40">
        <v>-1</v>
      </c>
    </row>
    <row r="76" spans="1:8" x14ac:dyDescent="0.3">
      <c r="A76" s="24">
        <v>45731</v>
      </c>
      <c r="B76" s="25">
        <v>23213.119999999999</v>
      </c>
      <c r="C76" s="26">
        <v>21.05</v>
      </c>
      <c r="D76" s="27">
        <v>1476</v>
      </c>
      <c r="E76" s="27">
        <v>685</v>
      </c>
      <c r="F76" s="28">
        <v>0.95499999999999996</v>
      </c>
      <c r="G76" s="29" t="s">
        <v>82</v>
      </c>
      <c r="H76" s="39">
        <v>0</v>
      </c>
    </row>
    <row r="77" spans="1:8" x14ac:dyDescent="0.3">
      <c r="A77" s="31">
        <v>45732</v>
      </c>
      <c r="B77" s="32">
        <v>22708.74</v>
      </c>
      <c r="C77" s="33">
        <v>23.32</v>
      </c>
      <c r="D77" s="34">
        <v>-2199</v>
      </c>
      <c r="E77" s="34">
        <v>1008</v>
      </c>
      <c r="F77" s="35">
        <v>0.82579999999999998</v>
      </c>
      <c r="G77" s="36" t="s">
        <v>83</v>
      </c>
      <c r="H77" s="37">
        <v>1</v>
      </c>
    </row>
    <row r="78" spans="1:8" x14ac:dyDescent="0.3">
      <c r="A78" s="24">
        <v>45733</v>
      </c>
      <c r="B78" s="25">
        <v>22874.799999999999</v>
      </c>
      <c r="C78" s="26">
        <v>21.69</v>
      </c>
      <c r="D78" s="27">
        <v>1183</v>
      </c>
      <c r="E78" s="27">
        <v>-555</v>
      </c>
      <c r="F78" s="28">
        <v>1.0749</v>
      </c>
      <c r="G78" s="29" t="s">
        <v>84</v>
      </c>
      <c r="H78" s="30">
        <v>1</v>
      </c>
    </row>
    <row r="79" spans="1:8" x14ac:dyDescent="0.3">
      <c r="A79" s="31">
        <v>45734</v>
      </c>
      <c r="B79" s="32">
        <v>22898.6</v>
      </c>
      <c r="C79" s="33">
        <v>19.940000000000001</v>
      </c>
      <c r="D79" s="34">
        <v>-1229</v>
      </c>
      <c r="E79" s="34">
        <v>1480</v>
      </c>
      <c r="F79" s="35">
        <v>0.86980000000000002</v>
      </c>
      <c r="G79" s="36" t="s">
        <v>85</v>
      </c>
      <c r="H79" s="40">
        <v>-1</v>
      </c>
    </row>
    <row r="80" spans="1:8" x14ac:dyDescent="0.3">
      <c r="A80" s="24">
        <v>45735</v>
      </c>
      <c r="B80" s="25">
        <v>22847.33</v>
      </c>
      <c r="C80" s="26">
        <v>21.17</v>
      </c>
      <c r="D80" s="27">
        <v>-70</v>
      </c>
      <c r="E80" s="27">
        <v>1021</v>
      </c>
      <c r="F80" s="28">
        <v>0.76080000000000003</v>
      </c>
      <c r="G80" s="29" t="s">
        <v>86</v>
      </c>
      <c r="H80" s="41">
        <v>-1</v>
      </c>
    </row>
    <row r="81" spans="1:8" x14ac:dyDescent="0.3">
      <c r="A81" s="31">
        <v>45736</v>
      </c>
      <c r="B81" s="32">
        <v>22872.02</v>
      </c>
      <c r="C81" s="33">
        <v>21.87</v>
      </c>
      <c r="D81" s="34">
        <v>564</v>
      </c>
      <c r="E81" s="34">
        <v>-315</v>
      </c>
      <c r="F81" s="35">
        <v>0.90669999999999995</v>
      </c>
      <c r="G81" s="36" t="s">
        <v>87</v>
      </c>
      <c r="H81" s="37">
        <v>1</v>
      </c>
    </row>
    <row r="82" spans="1:8" x14ac:dyDescent="0.3">
      <c r="A82" s="24">
        <v>45737</v>
      </c>
      <c r="B82" s="25">
        <v>22495.61</v>
      </c>
      <c r="C82" s="26">
        <v>22.31</v>
      </c>
      <c r="D82" s="27">
        <v>-2449</v>
      </c>
      <c r="E82" s="27">
        <v>1092</v>
      </c>
      <c r="F82" s="28">
        <v>1.1447000000000001</v>
      </c>
      <c r="G82" s="29" t="s">
        <v>88</v>
      </c>
      <c r="H82" s="39">
        <v>0</v>
      </c>
    </row>
    <row r="83" spans="1:8" x14ac:dyDescent="0.3">
      <c r="A83" s="31">
        <v>45738</v>
      </c>
      <c r="B83" s="32">
        <v>22460.38</v>
      </c>
      <c r="C83" s="33">
        <v>22.72</v>
      </c>
      <c r="D83" s="34">
        <v>539</v>
      </c>
      <c r="E83" s="34">
        <v>-183</v>
      </c>
      <c r="F83" s="35">
        <v>1.0728</v>
      </c>
      <c r="G83" s="36" t="s">
        <v>89</v>
      </c>
      <c r="H83" s="37">
        <v>1</v>
      </c>
    </row>
    <row r="84" spans="1:8" x14ac:dyDescent="0.3">
      <c r="A84" s="24">
        <v>45739</v>
      </c>
      <c r="B84" s="25">
        <v>22535.42</v>
      </c>
      <c r="C84" s="26">
        <v>22.33</v>
      </c>
      <c r="D84" s="27">
        <v>517</v>
      </c>
      <c r="E84" s="27">
        <v>-705</v>
      </c>
      <c r="F84" s="28">
        <v>0.92310000000000003</v>
      </c>
      <c r="G84" s="29" t="s">
        <v>90</v>
      </c>
      <c r="H84" s="39">
        <v>0</v>
      </c>
    </row>
    <row r="85" spans="1:8" x14ac:dyDescent="0.3">
      <c r="A85" s="31">
        <v>45740</v>
      </c>
      <c r="B85" s="32">
        <v>22827.14</v>
      </c>
      <c r="C85" s="33">
        <v>20.91</v>
      </c>
      <c r="D85" s="34">
        <v>961</v>
      </c>
      <c r="E85" s="34">
        <v>-692</v>
      </c>
      <c r="F85" s="35">
        <v>0.90169999999999995</v>
      </c>
      <c r="G85" s="36" t="s">
        <v>91</v>
      </c>
      <c r="H85" s="37">
        <v>1</v>
      </c>
    </row>
    <row r="86" spans="1:8" x14ac:dyDescent="0.3">
      <c r="A86" s="24">
        <v>45741</v>
      </c>
      <c r="B86" s="25">
        <v>22733.62</v>
      </c>
      <c r="C86" s="26">
        <v>20.77</v>
      </c>
      <c r="D86" s="27">
        <v>-7</v>
      </c>
      <c r="E86" s="27">
        <v>-299</v>
      </c>
      <c r="F86" s="28">
        <v>0.90300000000000002</v>
      </c>
      <c r="G86" s="29" t="s">
        <v>92</v>
      </c>
      <c r="H86" s="39">
        <v>0</v>
      </c>
    </row>
    <row r="87" spans="1:8" x14ac:dyDescent="0.3">
      <c r="A87" s="31">
        <v>45742</v>
      </c>
      <c r="B87" s="32">
        <v>22584.7</v>
      </c>
      <c r="C87" s="33">
        <v>19.739999999999998</v>
      </c>
      <c r="D87" s="34">
        <v>744</v>
      </c>
      <c r="E87" s="34">
        <v>-519</v>
      </c>
      <c r="F87" s="35">
        <v>1.1753</v>
      </c>
      <c r="G87" s="36" t="s">
        <v>93</v>
      </c>
      <c r="H87" s="37">
        <v>1</v>
      </c>
    </row>
    <row r="88" spans="1:8" x14ac:dyDescent="0.3">
      <c r="A88" s="24">
        <v>45743</v>
      </c>
      <c r="B88" s="25">
        <v>22495.33</v>
      </c>
      <c r="C88" s="26">
        <v>20.77</v>
      </c>
      <c r="D88" s="27">
        <v>-264</v>
      </c>
      <c r="E88" s="27">
        <v>301</v>
      </c>
      <c r="F88" s="28">
        <v>0.98740000000000006</v>
      </c>
      <c r="G88" s="29" t="s">
        <v>94</v>
      </c>
      <c r="H88" s="41">
        <v>-1</v>
      </c>
    </row>
    <row r="89" spans="1:8" x14ac:dyDescent="0.3">
      <c r="A89" s="31">
        <v>45744</v>
      </c>
      <c r="B89" s="32">
        <v>22677.85</v>
      </c>
      <c r="C89" s="33">
        <v>20.37</v>
      </c>
      <c r="D89" s="34">
        <v>909</v>
      </c>
      <c r="E89" s="34">
        <v>-92</v>
      </c>
      <c r="F89" s="35">
        <v>0.98719999999999997</v>
      </c>
      <c r="G89" s="36" t="s">
        <v>95</v>
      </c>
      <c r="H89" s="40">
        <v>-1</v>
      </c>
    </row>
    <row r="90" spans="1:8" x14ac:dyDescent="0.3">
      <c r="A90" s="24">
        <v>45745</v>
      </c>
      <c r="B90" s="25">
        <v>22748.13</v>
      </c>
      <c r="C90" s="26">
        <v>19.190000000000001</v>
      </c>
      <c r="D90" s="27">
        <v>16</v>
      </c>
      <c r="E90" s="27">
        <v>968</v>
      </c>
      <c r="F90" s="28">
        <v>1.0415000000000001</v>
      </c>
      <c r="G90" s="29" t="s">
        <v>96</v>
      </c>
      <c r="H90" s="39">
        <v>0</v>
      </c>
    </row>
    <row r="91" spans="1:8" x14ac:dyDescent="0.3">
      <c r="A91" s="31">
        <v>45746</v>
      </c>
      <c r="B91" s="32">
        <v>22652.720000000001</v>
      </c>
      <c r="C91" s="33">
        <v>18.71</v>
      </c>
      <c r="D91" s="34">
        <v>-905</v>
      </c>
      <c r="E91" s="34">
        <v>108</v>
      </c>
      <c r="F91" s="35">
        <v>0.93930000000000002</v>
      </c>
      <c r="G91" s="36" t="s">
        <v>97</v>
      </c>
      <c r="H91" s="40">
        <v>-1</v>
      </c>
    </row>
    <row r="92" spans="1:8" x14ac:dyDescent="0.3">
      <c r="A92" s="24">
        <v>45747</v>
      </c>
      <c r="B92" s="25">
        <v>22758.59</v>
      </c>
      <c r="C92" s="26">
        <v>19.149999999999999</v>
      </c>
      <c r="D92" s="27">
        <v>937</v>
      </c>
      <c r="E92" s="27">
        <v>271</v>
      </c>
      <c r="F92" s="28">
        <v>0.88619999999999999</v>
      </c>
      <c r="G92" s="29" t="s">
        <v>98</v>
      </c>
      <c r="H92" s="39">
        <v>0</v>
      </c>
    </row>
    <row r="93" spans="1:8" x14ac:dyDescent="0.3">
      <c r="A93" s="31">
        <v>45748</v>
      </c>
      <c r="B93" s="32">
        <v>22784.21</v>
      </c>
      <c r="C93" s="33">
        <v>18.38</v>
      </c>
      <c r="D93" s="34">
        <v>-408</v>
      </c>
      <c r="E93" s="34">
        <v>277</v>
      </c>
      <c r="F93" s="35">
        <v>0.8821</v>
      </c>
      <c r="G93" s="36" t="s">
        <v>99</v>
      </c>
      <c r="H93" s="37">
        <v>1</v>
      </c>
    </row>
    <row r="94" spans="1:8" x14ac:dyDescent="0.3">
      <c r="A94" s="24">
        <v>45749</v>
      </c>
      <c r="B94" s="25">
        <v>22979.47</v>
      </c>
      <c r="C94" s="26">
        <v>17.36</v>
      </c>
      <c r="D94" s="27">
        <v>846</v>
      </c>
      <c r="E94" s="27">
        <v>-205</v>
      </c>
      <c r="F94" s="28">
        <v>0.88180000000000003</v>
      </c>
      <c r="G94" s="29" t="s">
        <v>100</v>
      </c>
      <c r="H94" s="30">
        <v>1</v>
      </c>
    </row>
    <row r="95" spans="1:8" x14ac:dyDescent="0.3">
      <c r="A95" s="31">
        <v>45750</v>
      </c>
      <c r="B95" s="32">
        <v>22849.599999999999</v>
      </c>
      <c r="C95" s="33">
        <v>17.7</v>
      </c>
      <c r="D95" s="34">
        <v>-820</v>
      </c>
      <c r="E95" s="34">
        <v>906</v>
      </c>
      <c r="F95" s="35">
        <v>0.89100000000000001</v>
      </c>
      <c r="G95" s="36" t="s">
        <v>101</v>
      </c>
      <c r="H95" s="37">
        <v>1</v>
      </c>
    </row>
    <row r="96" spans="1:8" x14ac:dyDescent="0.3">
      <c r="A96" s="24">
        <v>45751</v>
      </c>
      <c r="B96" s="25">
        <v>22792.89</v>
      </c>
      <c r="C96" s="26">
        <v>18.02</v>
      </c>
      <c r="D96" s="27">
        <v>53</v>
      </c>
      <c r="E96" s="27">
        <v>-385</v>
      </c>
      <c r="F96" s="28">
        <v>0.98760000000000003</v>
      </c>
      <c r="G96" s="29" t="s">
        <v>102</v>
      </c>
      <c r="H96" s="30">
        <v>1</v>
      </c>
    </row>
    <row r="97" spans="1:8" x14ac:dyDescent="0.3">
      <c r="A97" s="31">
        <v>45752</v>
      </c>
      <c r="B97" s="32">
        <v>22723.87</v>
      </c>
      <c r="C97" s="33">
        <v>17.41</v>
      </c>
      <c r="D97" s="34">
        <v>-85</v>
      </c>
      <c r="E97" s="34">
        <v>429</v>
      </c>
      <c r="F97" s="35">
        <v>0.89739999999999998</v>
      </c>
      <c r="G97" s="36" t="s">
        <v>103</v>
      </c>
      <c r="H97" s="37">
        <v>1</v>
      </c>
    </row>
    <row r="98" spans="1:8" x14ac:dyDescent="0.3">
      <c r="A98" s="24">
        <v>45753</v>
      </c>
      <c r="B98" s="25">
        <v>22449.67</v>
      </c>
      <c r="C98" s="26">
        <v>16.89</v>
      </c>
      <c r="D98" s="27">
        <v>-520</v>
      </c>
      <c r="E98" s="27">
        <v>517</v>
      </c>
      <c r="F98" s="28">
        <v>0.97130000000000005</v>
      </c>
      <c r="G98" s="29" t="s">
        <v>104</v>
      </c>
      <c r="H98" s="30">
        <v>1</v>
      </c>
    </row>
    <row r="99" spans="1:8" x14ac:dyDescent="0.3">
      <c r="A99" s="31">
        <v>45754</v>
      </c>
      <c r="B99" s="32">
        <v>22513</v>
      </c>
      <c r="C99" s="33">
        <v>17.260000000000002</v>
      </c>
      <c r="D99" s="34">
        <v>-41</v>
      </c>
      <c r="E99" s="34">
        <v>465</v>
      </c>
      <c r="F99" s="35">
        <v>0.87919999999999998</v>
      </c>
      <c r="G99" s="36" t="s">
        <v>105</v>
      </c>
      <c r="H99" s="40">
        <v>-1</v>
      </c>
    </row>
    <row r="100" spans="1:8" x14ac:dyDescent="0.3">
      <c r="A100" s="24">
        <v>45755</v>
      </c>
      <c r="B100" s="25">
        <v>22569.78</v>
      </c>
      <c r="C100" s="26">
        <v>15.58</v>
      </c>
      <c r="D100" s="27">
        <v>75</v>
      </c>
      <c r="E100" s="27">
        <v>311</v>
      </c>
      <c r="F100" s="28">
        <v>0.87309999999999999</v>
      </c>
      <c r="G100" s="29" t="s">
        <v>106</v>
      </c>
      <c r="H100" s="39">
        <v>0</v>
      </c>
    </row>
    <row r="101" spans="1:8" x14ac:dyDescent="0.3">
      <c r="A101" s="31">
        <v>45756</v>
      </c>
      <c r="B101" s="32">
        <v>22577.53</v>
      </c>
      <c r="C101" s="33">
        <v>14.08</v>
      </c>
      <c r="D101" s="34">
        <v>-555</v>
      </c>
      <c r="E101" s="34">
        <v>1677</v>
      </c>
      <c r="F101" s="35">
        <v>0.60140000000000005</v>
      </c>
      <c r="G101" s="36" t="s">
        <v>107</v>
      </c>
      <c r="H101" s="37">
        <v>1</v>
      </c>
    </row>
    <row r="102" spans="1:8" x14ac:dyDescent="0.3">
      <c r="A102" s="24">
        <v>45757</v>
      </c>
      <c r="B102" s="25">
        <v>22539.32</v>
      </c>
      <c r="C102" s="26">
        <v>13.53</v>
      </c>
      <c r="D102" s="27">
        <v>-426</v>
      </c>
      <c r="E102" s="27">
        <v>73</v>
      </c>
      <c r="F102" s="28">
        <v>0.94289999999999996</v>
      </c>
      <c r="G102" s="29" t="s">
        <v>108</v>
      </c>
      <c r="H102" s="39">
        <v>0</v>
      </c>
    </row>
    <row r="103" spans="1:8" x14ac:dyDescent="0.3">
      <c r="A103" s="31">
        <v>45758</v>
      </c>
      <c r="B103" s="32">
        <v>22276.46</v>
      </c>
      <c r="C103" s="33">
        <v>13.63</v>
      </c>
      <c r="D103" s="34">
        <v>-878</v>
      </c>
      <c r="E103" s="34">
        <v>330</v>
      </c>
      <c r="F103" s="35">
        <v>0.876</v>
      </c>
      <c r="G103" s="36" t="s">
        <v>109</v>
      </c>
      <c r="H103" s="37">
        <v>1</v>
      </c>
    </row>
    <row r="104" spans="1:8" x14ac:dyDescent="0.3">
      <c r="A104" s="24">
        <v>45759</v>
      </c>
      <c r="B104" s="25">
        <v>22203.61</v>
      </c>
      <c r="C104" s="26">
        <v>14.35</v>
      </c>
      <c r="D104" s="27">
        <v>146</v>
      </c>
      <c r="E104" s="27">
        <v>-177</v>
      </c>
      <c r="F104" s="28">
        <v>0.96499999999999997</v>
      </c>
      <c r="G104" s="29" t="s">
        <v>110</v>
      </c>
      <c r="H104" s="30">
        <v>1</v>
      </c>
    </row>
    <row r="105" spans="1:8" x14ac:dyDescent="0.3">
      <c r="A105" s="31">
        <v>45760</v>
      </c>
      <c r="B105" s="32">
        <v>22145.67</v>
      </c>
      <c r="C105" s="33">
        <v>16.41</v>
      </c>
      <c r="D105" s="34">
        <v>-799</v>
      </c>
      <c r="E105" s="34">
        <v>282</v>
      </c>
      <c r="F105" s="35">
        <v>0.52859999999999996</v>
      </c>
      <c r="G105" s="36" t="s">
        <v>111</v>
      </c>
      <c r="H105" s="38">
        <v>0</v>
      </c>
    </row>
    <row r="106" spans="1:8" x14ac:dyDescent="0.3">
      <c r="A106" s="24">
        <v>45761</v>
      </c>
      <c r="B106" s="25">
        <v>22001.759999999998</v>
      </c>
      <c r="C106" s="26">
        <v>17.57</v>
      </c>
      <c r="D106" s="27">
        <v>-92</v>
      </c>
      <c r="E106" s="27">
        <v>-77</v>
      </c>
      <c r="F106" s="28">
        <v>1.1442000000000001</v>
      </c>
      <c r="G106" s="29" t="s">
        <v>112</v>
      </c>
      <c r="H106" s="39">
        <v>0</v>
      </c>
    </row>
    <row r="107" spans="1:8" x14ac:dyDescent="0.3">
      <c r="A107" s="31">
        <v>45762</v>
      </c>
      <c r="B107" s="32">
        <v>21978.21</v>
      </c>
      <c r="C107" s="33">
        <v>17.41</v>
      </c>
      <c r="D107" s="34">
        <v>713</v>
      </c>
      <c r="E107" s="34">
        <v>474</v>
      </c>
      <c r="F107" s="35">
        <v>0.87439999999999996</v>
      </c>
      <c r="G107" s="36" t="s">
        <v>113</v>
      </c>
      <c r="H107" s="37">
        <v>1</v>
      </c>
    </row>
    <row r="108" spans="1:8" x14ac:dyDescent="0.3">
      <c r="A108" s="24">
        <v>45763</v>
      </c>
      <c r="B108" s="25">
        <v>22060.44</v>
      </c>
      <c r="C108" s="26">
        <v>17.43</v>
      </c>
      <c r="D108" s="27">
        <v>600</v>
      </c>
      <c r="E108" s="27">
        <v>640</v>
      </c>
      <c r="F108" s="28">
        <v>1.0244</v>
      </c>
      <c r="G108" s="29" t="s">
        <v>114</v>
      </c>
      <c r="H108" s="30">
        <v>1</v>
      </c>
    </row>
    <row r="109" spans="1:8" x14ac:dyDescent="0.3">
      <c r="A109" s="31">
        <v>45764</v>
      </c>
      <c r="B109" s="32">
        <v>22423.7</v>
      </c>
      <c r="C109" s="33">
        <v>16.27</v>
      </c>
      <c r="D109" s="34">
        <v>2663</v>
      </c>
      <c r="E109" s="34">
        <v>-1284</v>
      </c>
      <c r="F109" s="35">
        <v>0.74929999999999997</v>
      </c>
      <c r="G109" s="36" t="s">
        <v>115</v>
      </c>
      <c r="H109" s="37">
        <v>1</v>
      </c>
    </row>
    <row r="110" spans="1:8" x14ac:dyDescent="0.3">
      <c r="A110" s="24">
        <v>45765</v>
      </c>
      <c r="B110" s="25">
        <v>22463.74</v>
      </c>
      <c r="C110" s="26">
        <v>16.39</v>
      </c>
      <c r="D110" s="27">
        <v>-296</v>
      </c>
      <c r="E110" s="27">
        <v>-83</v>
      </c>
      <c r="F110" s="28">
        <v>0.94940000000000002</v>
      </c>
      <c r="G110" s="29" t="s">
        <v>116</v>
      </c>
      <c r="H110" s="41">
        <v>-1</v>
      </c>
    </row>
    <row r="111" spans="1:8" x14ac:dyDescent="0.3">
      <c r="A111" s="31">
        <v>45766</v>
      </c>
      <c r="B111" s="32">
        <v>22519.73</v>
      </c>
      <c r="C111" s="33">
        <v>16.170000000000002</v>
      </c>
      <c r="D111" s="34">
        <v>-513</v>
      </c>
      <c r="E111" s="34">
        <v>667</v>
      </c>
      <c r="F111" s="35">
        <v>0.74609999999999999</v>
      </c>
      <c r="G111" s="36" t="s">
        <v>117</v>
      </c>
      <c r="H111" s="40">
        <v>-1</v>
      </c>
    </row>
    <row r="112" spans="1:8" x14ac:dyDescent="0.3">
      <c r="A112" s="24">
        <v>45767</v>
      </c>
      <c r="B112" s="25">
        <v>22512.240000000002</v>
      </c>
      <c r="C112" s="26">
        <v>16.7</v>
      </c>
      <c r="D112" s="27">
        <v>-1099</v>
      </c>
      <c r="E112" s="27">
        <v>418</v>
      </c>
      <c r="F112" s="28">
        <v>0.80559999999999998</v>
      </c>
      <c r="G112" s="29" t="s">
        <v>118</v>
      </c>
      <c r="H112" s="41">
        <v>-1</v>
      </c>
    </row>
    <row r="113" spans="1:8" x14ac:dyDescent="0.3">
      <c r="A113" s="31">
        <v>45768</v>
      </c>
      <c r="B113" s="32">
        <v>22154.7</v>
      </c>
      <c r="C113" s="33">
        <v>15.81</v>
      </c>
      <c r="D113" s="34">
        <v>-609</v>
      </c>
      <c r="E113" s="34">
        <v>791</v>
      </c>
      <c r="F113" s="35">
        <v>1.0968</v>
      </c>
      <c r="G113" s="36" t="s">
        <v>119</v>
      </c>
      <c r="H113" s="37">
        <v>1</v>
      </c>
    </row>
    <row r="114" spans="1:8" x14ac:dyDescent="0.3">
      <c r="A114" s="24">
        <v>45769</v>
      </c>
      <c r="B114" s="25">
        <v>22156.35</v>
      </c>
      <c r="C114" s="26">
        <v>16.61</v>
      </c>
      <c r="D114" s="27">
        <v>400</v>
      </c>
      <c r="E114" s="27">
        <v>121</v>
      </c>
      <c r="F114" s="28">
        <v>0.85629999999999995</v>
      </c>
      <c r="G114" s="29" t="s">
        <v>120</v>
      </c>
      <c r="H114" s="30">
        <v>1</v>
      </c>
    </row>
    <row r="115" spans="1:8" x14ac:dyDescent="0.3">
      <c r="A115" s="31">
        <v>45770</v>
      </c>
      <c r="B115" s="32">
        <v>22174.35</v>
      </c>
      <c r="C115" s="33">
        <v>18.559999999999999</v>
      </c>
      <c r="D115" s="34">
        <v>43</v>
      </c>
      <c r="E115" s="34">
        <v>-577</v>
      </c>
      <c r="F115" s="35">
        <v>0.9345</v>
      </c>
      <c r="G115" s="36" t="s">
        <v>121</v>
      </c>
      <c r="H115" s="37">
        <v>1</v>
      </c>
    </row>
    <row r="116" spans="1:8" x14ac:dyDescent="0.3">
      <c r="A116" s="24">
        <v>45771</v>
      </c>
      <c r="B116" s="25">
        <v>22650.32</v>
      </c>
      <c r="C116" s="26">
        <v>18.38</v>
      </c>
      <c r="D116" s="27">
        <v>2167</v>
      </c>
      <c r="E116" s="27">
        <v>-1</v>
      </c>
      <c r="F116" s="28">
        <v>1.0101</v>
      </c>
      <c r="G116" s="29" t="s">
        <v>122</v>
      </c>
      <c r="H116" s="41">
        <v>-1</v>
      </c>
    </row>
    <row r="117" spans="1:8" x14ac:dyDescent="0.3">
      <c r="A117" s="31">
        <v>45772</v>
      </c>
      <c r="B117" s="32">
        <v>22620.1</v>
      </c>
      <c r="C117" s="33">
        <v>18.829999999999998</v>
      </c>
      <c r="D117" s="34">
        <v>-801</v>
      </c>
      <c r="E117" s="34">
        <v>1458</v>
      </c>
      <c r="F117" s="35">
        <v>0.97189999999999999</v>
      </c>
      <c r="G117" s="36" t="s">
        <v>123</v>
      </c>
      <c r="H117" s="38">
        <v>0</v>
      </c>
    </row>
    <row r="118" spans="1:8" x14ac:dyDescent="0.3">
      <c r="A118" s="24">
        <v>45773</v>
      </c>
      <c r="B118" s="25">
        <v>22684.959999999999</v>
      </c>
      <c r="C118" s="26">
        <v>19.59</v>
      </c>
      <c r="D118" s="27">
        <v>1737</v>
      </c>
      <c r="E118" s="27">
        <v>-888</v>
      </c>
      <c r="F118" s="28">
        <v>0.94189999999999996</v>
      </c>
      <c r="G118" s="29" t="s">
        <v>124</v>
      </c>
      <c r="H118" s="41">
        <v>-1</v>
      </c>
    </row>
    <row r="119" spans="1:8" x14ac:dyDescent="0.3">
      <c r="A119" s="31">
        <v>45774</v>
      </c>
      <c r="B119" s="32">
        <v>22685.07</v>
      </c>
      <c r="C119" s="33">
        <v>18.98</v>
      </c>
      <c r="D119" s="34">
        <v>78</v>
      </c>
      <c r="E119" s="34">
        <v>-29</v>
      </c>
      <c r="F119" s="35">
        <v>0.95850000000000002</v>
      </c>
      <c r="G119" s="36" t="s">
        <v>125</v>
      </c>
      <c r="H119" s="38">
        <v>0</v>
      </c>
    </row>
    <row r="120" spans="1:8" x14ac:dyDescent="0.3">
      <c r="A120" s="24">
        <v>45775</v>
      </c>
      <c r="B120" s="25">
        <v>22467.58</v>
      </c>
      <c r="C120" s="26">
        <v>19.170000000000002</v>
      </c>
      <c r="D120" s="27">
        <v>-841</v>
      </c>
      <c r="E120" s="27">
        <v>721</v>
      </c>
      <c r="F120" s="28">
        <v>1.206</v>
      </c>
      <c r="G120" s="29" t="s">
        <v>126</v>
      </c>
      <c r="H120" s="30">
        <v>1</v>
      </c>
    </row>
    <row r="121" spans="1:8" x14ac:dyDescent="0.3">
      <c r="A121" s="31">
        <v>45776</v>
      </c>
      <c r="B121" s="32">
        <v>22693.7</v>
      </c>
      <c r="C121" s="33">
        <v>19.09</v>
      </c>
      <c r="D121" s="34">
        <v>1378</v>
      </c>
      <c r="E121" s="34">
        <v>-253</v>
      </c>
      <c r="F121" s="35">
        <v>0.90939999999999999</v>
      </c>
      <c r="G121" s="36" t="s">
        <v>127</v>
      </c>
      <c r="H121" s="37">
        <v>1</v>
      </c>
    </row>
    <row r="122" spans="1:8" x14ac:dyDescent="0.3">
      <c r="A122" s="24">
        <v>45777</v>
      </c>
      <c r="B122" s="25">
        <v>22846.06</v>
      </c>
      <c r="C122" s="26">
        <v>19.12</v>
      </c>
      <c r="D122" s="27">
        <v>918</v>
      </c>
      <c r="E122" s="27">
        <v>116</v>
      </c>
      <c r="F122" s="28">
        <v>0.94089999999999996</v>
      </c>
      <c r="G122" s="29" t="s">
        <v>128</v>
      </c>
      <c r="H122" s="30">
        <v>1</v>
      </c>
    </row>
    <row r="123" spans="1:8" x14ac:dyDescent="0.3">
      <c r="A123" s="31">
        <v>45778</v>
      </c>
      <c r="B123" s="32">
        <v>23007.09</v>
      </c>
      <c r="C123" s="33">
        <v>18.100000000000001</v>
      </c>
      <c r="D123" s="34">
        <v>795</v>
      </c>
      <c r="E123" s="34">
        <v>847</v>
      </c>
      <c r="F123" s="35">
        <v>1.0276000000000001</v>
      </c>
      <c r="G123" s="36" t="s">
        <v>129</v>
      </c>
      <c r="H123" s="40">
        <v>-1</v>
      </c>
    </row>
    <row r="124" spans="1:8" x14ac:dyDescent="0.3">
      <c r="A124" s="24">
        <v>45779</v>
      </c>
      <c r="B124" s="25">
        <v>22836.79</v>
      </c>
      <c r="C124" s="26">
        <v>18.12</v>
      </c>
      <c r="D124" s="27">
        <v>-1174</v>
      </c>
      <c r="E124" s="27">
        <v>640</v>
      </c>
      <c r="F124" s="28">
        <v>1.0345</v>
      </c>
      <c r="G124" s="29" t="s">
        <v>130</v>
      </c>
      <c r="H124" s="30">
        <v>1</v>
      </c>
    </row>
    <row r="125" spans="1:8" x14ac:dyDescent="0.3">
      <c r="A125" s="31">
        <v>45780</v>
      </c>
      <c r="B125" s="32">
        <v>23117.65</v>
      </c>
      <c r="C125" s="33">
        <v>18.71</v>
      </c>
      <c r="D125" s="34">
        <v>1433</v>
      </c>
      <c r="E125" s="34">
        <v>-844</v>
      </c>
      <c r="F125" s="35">
        <v>1.0530999999999999</v>
      </c>
      <c r="G125" s="36" t="s">
        <v>131</v>
      </c>
      <c r="H125" s="37">
        <v>1</v>
      </c>
    </row>
    <row r="126" spans="1:8" x14ac:dyDescent="0.3">
      <c r="A126" s="24">
        <v>45781</v>
      </c>
      <c r="B126" s="25">
        <v>22850.68</v>
      </c>
      <c r="C126" s="26">
        <v>20.39</v>
      </c>
      <c r="D126" s="27">
        <v>36</v>
      </c>
      <c r="E126" s="27">
        <v>-506</v>
      </c>
      <c r="F126" s="28">
        <v>1.0125</v>
      </c>
      <c r="G126" s="29" t="s">
        <v>132</v>
      </c>
      <c r="H126" s="30">
        <v>1</v>
      </c>
    </row>
    <row r="127" spans="1:8" x14ac:dyDescent="0.3">
      <c r="A127" s="31">
        <v>45782</v>
      </c>
      <c r="B127" s="32">
        <v>22971.84</v>
      </c>
      <c r="C127" s="33">
        <v>21.35</v>
      </c>
      <c r="D127" s="34">
        <v>1305</v>
      </c>
      <c r="E127" s="34">
        <v>-753</v>
      </c>
      <c r="F127" s="35">
        <v>0.81310000000000004</v>
      </c>
      <c r="G127" s="36" t="s">
        <v>133</v>
      </c>
      <c r="H127" s="38">
        <v>0</v>
      </c>
    </row>
    <row r="128" spans="1:8" x14ac:dyDescent="0.3">
      <c r="A128" s="24">
        <v>45783</v>
      </c>
      <c r="B128" s="25">
        <v>23410.58</v>
      </c>
      <c r="C128" s="26">
        <v>23.67</v>
      </c>
      <c r="D128" s="27">
        <v>2737</v>
      </c>
      <c r="E128" s="27">
        <v>-1048</v>
      </c>
      <c r="F128" s="28">
        <v>1.1811</v>
      </c>
      <c r="G128" s="29" t="s">
        <v>134</v>
      </c>
      <c r="H128" s="39">
        <v>0</v>
      </c>
    </row>
    <row r="129" spans="1:8" x14ac:dyDescent="0.3">
      <c r="A129" s="31">
        <v>45784</v>
      </c>
      <c r="B129" s="32">
        <v>23221.27</v>
      </c>
      <c r="C129" s="33">
        <v>22.3</v>
      </c>
      <c r="D129" s="34">
        <v>-1071</v>
      </c>
      <c r="E129" s="34">
        <v>1579</v>
      </c>
      <c r="F129" s="35">
        <v>0.82689999999999997</v>
      </c>
      <c r="G129" s="36" t="s">
        <v>135</v>
      </c>
      <c r="H129" s="37">
        <v>1</v>
      </c>
    </row>
    <row r="130" spans="1:8" x14ac:dyDescent="0.3">
      <c r="A130" s="24">
        <v>45785</v>
      </c>
      <c r="B130" s="25">
        <v>23116.7</v>
      </c>
      <c r="C130" s="26">
        <v>23</v>
      </c>
      <c r="D130" s="27">
        <v>-1019</v>
      </c>
      <c r="E130" s="27">
        <v>400</v>
      </c>
      <c r="F130" s="28">
        <v>1.0113000000000001</v>
      </c>
      <c r="G130" s="29" t="s">
        <v>136</v>
      </c>
      <c r="H130" s="39">
        <v>0</v>
      </c>
    </row>
    <row r="131" spans="1:8" x14ac:dyDescent="0.3">
      <c r="A131" s="31">
        <v>45786</v>
      </c>
      <c r="B131" s="32">
        <v>23143.23</v>
      </c>
      <c r="C131" s="33">
        <v>22.82</v>
      </c>
      <c r="D131" s="34">
        <v>32</v>
      </c>
      <c r="E131" s="34">
        <v>297</v>
      </c>
      <c r="F131" s="35">
        <v>0.88180000000000003</v>
      </c>
      <c r="G131" s="36" t="s">
        <v>137</v>
      </c>
      <c r="H131" s="37">
        <v>1</v>
      </c>
    </row>
    <row r="132" spans="1:8" x14ac:dyDescent="0.3">
      <c r="A132" s="24">
        <v>45787</v>
      </c>
      <c r="B132" s="25">
        <v>23051.31</v>
      </c>
      <c r="C132" s="26">
        <v>25.06</v>
      </c>
      <c r="D132" s="27">
        <v>-341</v>
      </c>
      <c r="E132" s="27">
        <v>345</v>
      </c>
      <c r="F132" s="28">
        <v>0.99819999999999998</v>
      </c>
      <c r="G132" s="29" t="s">
        <v>138</v>
      </c>
      <c r="H132" s="41">
        <v>-1</v>
      </c>
    </row>
    <row r="133" spans="1:8" x14ac:dyDescent="0.3">
      <c r="A133" s="31">
        <v>45788</v>
      </c>
      <c r="B133" s="32">
        <v>22756.3</v>
      </c>
      <c r="C133" s="33">
        <v>23.53</v>
      </c>
      <c r="D133" s="34">
        <v>-556</v>
      </c>
      <c r="E133" s="34">
        <v>1044</v>
      </c>
      <c r="F133" s="35">
        <v>1.0224</v>
      </c>
      <c r="G133" s="36" t="s">
        <v>139</v>
      </c>
      <c r="H133" s="40">
        <v>-1</v>
      </c>
    </row>
    <row r="134" spans="1:8" x14ac:dyDescent="0.3">
      <c r="A134" s="24">
        <v>45789</v>
      </c>
      <c r="B134" s="25">
        <v>22776.400000000001</v>
      </c>
      <c r="C134" s="26">
        <v>22.08</v>
      </c>
      <c r="D134" s="27">
        <v>-932</v>
      </c>
      <c r="E134" s="27">
        <v>1883</v>
      </c>
      <c r="F134" s="28">
        <v>0.99980000000000002</v>
      </c>
      <c r="G134" s="29" t="s">
        <v>140</v>
      </c>
      <c r="H134" s="39">
        <v>0</v>
      </c>
    </row>
    <row r="135" spans="1:8" x14ac:dyDescent="0.3">
      <c r="A135" s="31">
        <v>45790</v>
      </c>
      <c r="B135" s="32">
        <v>22578.44</v>
      </c>
      <c r="C135" s="33">
        <v>21.03</v>
      </c>
      <c r="D135" s="34">
        <v>96</v>
      </c>
      <c r="E135" s="34">
        <v>-109</v>
      </c>
      <c r="F135" s="35">
        <v>0.99609999999999999</v>
      </c>
      <c r="G135" s="36" t="s">
        <v>141</v>
      </c>
      <c r="H135" s="38">
        <v>0</v>
      </c>
    </row>
    <row r="136" spans="1:8" x14ac:dyDescent="0.3">
      <c r="A136" s="24">
        <v>45791</v>
      </c>
      <c r="B136" s="25">
        <v>22676.32</v>
      </c>
      <c r="C136" s="26">
        <v>18.239999999999998</v>
      </c>
      <c r="D136" s="27">
        <v>312</v>
      </c>
      <c r="E136" s="27">
        <v>-185</v>
      </c>
      <c r="F136" s="28">
        <v>1.0972</v>
      </c>
      <c r="G136" s="29" t="s">
        <v>142</v>
      </c>
      <c r="H136" s="41">
        <v>-1</v>
      </c>
    </row>
    <row r="137" spans="1:8" x14ac:dyDescent="0.3">
      <c r="A137" s="31">
        <v>45792</v>
      </c>
      <c r="B137" s="32">
        <v>22506.54</v>
      </c>
      <c r="C137" s="33">
        <v>17.59</v>
      </c>
      <c r="D137" s="34">
        <v>-963</v>
      </c>
      <c r="E137" s="34">
        <v>1155</v>
      </c>
      <c r="F137" s="35">
        <v>0.94830000000000003</v>
      </c>
      <c r="G137" s="36" t="s">
        <v>143</v>
      </c>
      <c r="H137" s="37">
        <v>1</v>
      </c>
    </row>
    <row r="138" spans="1:8" x14ac:dyDescent="0.3">
      <c r="A138" s="24">
        <v>45793</v>
      </c>
      <c r="B138" s="25">
        <v>22811.86</v>
      </c>
      <c r="C138" s="26">
        <v>16.71</v>
      </c>
      <c r="D138" s="27">
        <v>661</v>
      </c>
      <c r="E138" s="27">
        <v>243</v>
      </c>
      <c r="F138" s="28">
        <v>0.85140000000000005</v>
      </c>
      <c r="G138" s="29" t="s">
        <v>144</v>
      </c>
      <c r="H138" s="30">
        <v>1</v>
      </c>
    </row>
    <row r="139" spans="1:8" x14ac:dyDescent="0.3">
      <c r="A139" s="31">
        <v>45794</v>
      </c>
      <c r="B139" s="32">
        <v>22667.29</v>
      </c>
      <c r="C139" s="33">
        <v>16.989999999999998</v>
      </c>
      <c r="D139" s="34">
        <v>-1591</v>
      </c>
      <c r="E139" s="34">
        <v>1839</v>
      </c>
      <c r="F139" s="35">
        <v>1.0004999999999999</v>
      </c>
      <c r="G139" s="36" t="s">
        <v>145</v>
      </c>
      <c r="H139" s="38">
        <v>0</v>
      </c>
    </row>
    <row r="140" spans="1:8" x14ac:dyDescent="0.3">
      <c r="A140" s="24">
        <v>45795</v>
      </c>
      <c r="B140" s="25">
        <v>22612.11</v>
      </c>
      <c r="C140" s="26">
        <v>17.48</v>
      </c>
      <c r="D140" s="27">
        <v>264</v>
      </c>
      <c r="E140" s="27">
        <v>373</v>
      </c>
      <c r="F140" s="28">
        <v>1.0348999999999999</v>
      </c>
      <c r="G140" s="29" t="s">
        <v>146</v>
      </c>
      <c r="H140" s="30">
        <v>1</v>
      </c>
    </row>
    <row r="141" spans="1:8" x14ac:dyDescent="0.3">
      <c r="A141" s="31">
        <v>45796</v>
      </c>
      <c r="B141" s="32">
        <v>22775.84</v>
      </c>
      <c r="C141" s="33">
        <v>19.77</v>
      </c>
      <c r="D141" s="34">
        <v>723</v>
      </c>
      <c r="E141" s="34">
        <v>-305</v>
      </c>
      <c r="F141" s="35">
        <v>0.7792</v>
      </c>
      <c r="G141" s="36" t="s">
        <v>147</v>
      </c>
      <c r="H141" s="37">
        <v>1</v>
      </c>
    </row>
    <row r="142" spans="1:8" x14ac:dyDescent="0.3">
      <c r="A142" s="24">
        <v>45797</v>
      </c>
      <c r="B142" s="25">
        <v>22545.56</v>
      </c>
      <c r="C142" s="26">
        <v>20.77</v>
      </c>
      <c r="D142" s="27">
        <v>-1730</v>
      </c>
      <c r="E142" s="27">
        <v>1274</v>
      </c>
      <c r="F142" s="28">
        <v>1.0132000000000001</v>
      </c>
      <c r="G142" s="29" t="s">
        <v>148</v>
      </c>
      <c r="H142" s="39">
        <v>0</v>
      </c>
    </row>
    <row r="143" spans="1:8" x14ac:dyDescent="0.3">
      <c r="A143" s="31">
        <v>45798</v>
      </c>
      <c r="B143" s="32">
        <v>22595.97</v>
      </c>
      <c r="C143" s="33">
        <v>19.86</v>
      </c>
      <c r="D143" s="34">
        <v>-567</v>
      </c>
      <c r="E143" s="34">
        <v>1010</v>
      </c>
      <c r="F143" s="35">
        <v>1.012</v>
      </c>
      <c r="G143" s="36" t="s">
        <v>149</v>
      </c>
      <c r="H143" s="37">
        <v>1</v>
      </c>
    </row>
    <row r="144" spans="1:8" x14ac:dyDescent="0.3">
      <c r="A144" s="24">
        <v>45799</v>
      </c>
      <c r="B144" s="25">
        <v>22855.279999999999</v>
      </c>
      <c r="C144" s="26">
        <v>18.63</v>
      </c>
      <c r="D144" s="27">
        <v>872</v>
      </c>
      <c r="E144" s="27">
        <v>218</v>
      </c>
      <c r="F144" s="28">
        <v>0.87370000000000003</v>
      </c>
      <c r="G144" s="29" t="s">
        <v>150</v>
      </c>
      <c r="H144" s="39">
        <v>0</v>
      </c>
    </row>
    <row r="145" spans="1:8" x14ac:dyDescent="0.3">
      <c r="A145" s="31">
        <v>45800</v>
      </c>
      <c r="B145" s="32">
        <v>22551.88</v>
      </c>
      <c r="C145" s="33">
        <v>19.170000000000002</v>
      </c>
      <c r="D145" s="34">
        <v>-256</v>
      </c>
      <c r="E145" s="34">
        <v>569</v>
      </c>
      <c r="F145" s="35">
        <v>1.0826</v>
      </c>
      <c r="G145" s="36" t="s">
        <v>151</v>
      </c>
      <c r="H145" s="37">
        <v>1</v>
      </c>
    </row>
    <row r="146" spans="1:8" x14ac:dyDescent="0.3">
      <c r="A146" s="24">
        <v>45801</v>
      </c>
      <c r="B146" s="25">
        <v>22594.080000000002</v>
      </c>
      <c r="C146" s="26">
        <v>17.489999999999998</v>
      </c>
      <c r="D146" s="27">
        <v>20</v>
      </c>
      <c r="E146" s="27">
        <v>724</v>
      </c>
      <c r="F146" s="28">
        <v>0.87429999999999997</v>
      </c>
      <c r="G146" s="29" t="s">
        <v>152</v>
      </c>
      <c r="H146" s="39">
        <v>0</v>
      </c>
    </row>
    <row r="147" spans="1:8" x14ac:dyDescent="0.3">
      <c r="A147" s="31">
        <v>45802</v>
      </c>
      <c r="B147" s="32">
        <v>22650.84</v>
      </c>
      <c r="C147" s="33">
        <v>19.73</v>
      </c>
      <c r="D147" s="34">
        <v>-666</v>
      </c>
      <c r="E147" s="34">
        <v>1084</v>
      </c>
      <c r="F147" s="35">
        <v>0.94099999999999995</v>
      </c>
      <c r="G147" s="36" t="s">
        <v>153</v>
      </c>
      <c r="H147" s="37">
        <v>1</v>
      </c>
    </row>
    <row r="148" spans="1:8" x14ac:dyDescent="0.3">
      <c r="A148" s="24">
        <v>45803</v>
      </c>
      <c r="B148" s="25">
        <v>22808.71</v>
      </c>
      <c r="C148" s="26">
        <v>21.01</v>
      </c>
      <c r="D148" s="27">
        <v>506</v>
      </c>
      <c r="E148" s="27">
        <v>663</v>
      </c>
      <c r="F148" s="28">
        <v>0.9244</v>
      </c>
      <c r="G148" s="29" t="s">
        <v>154</v>
      </c>
      <c r="H148" s="41">
        <v>-1</v>
      </c>
    </row>
    <row r="149" spans="1:8" x14ac:dyDescent="0.3">
      <c r="A149" s="31">
        <v>45804</v>
      </c>
      <c r="B149" s="32">
        <v>22576.93</v>
      </c>
      <c r="C149" s="33">
        <v>20.21</v>
      </c>
      <c r="D149" s="34">
        <v>-1125</v>
      </c>
      <c r="E149" s="34">
        <v>1031</v>
      </c>
      <c r="F149" s="35">
        <v>0.93500000000000005</v>
      </c>
      <c r="G149" s="36" t="s">
        <v>155</v>
      </c>
      <c r="H149" s="40">
        <v>-1</v>
      </c>
    </row>
    <row r="150" spans="1:8" x14ac:dyDescent="0.3">
      <c r="A150" s="24">
        <v>45805</v>
      </c>
      <c r="B150" s="25">
        <v>22331.64</v>
      </c>
      <c r="C150" s="26">
        <v>17.98</v>
      </c>
      <c r="D150" s="27">
        <v>-2646</v>
      </c>
      <c r="E150" s="27">
        <v>1307</v>
      </c>
      <c r="F150" s="28">
        <v>0.7681</v>
      </c>
      <c r="G150" s="29" t="s">
        <v>156</v>
      </c>
      <c r="H150" s="39">
        <v>0</v>
      </c>
    </row>
    <row r="151" spans="1:8" x14ac:dyDescent="0.3">
      <c r="A151" s="31">
        <v>45806</v>
      </c>
      <c r="B151" s="32">
        <v>22437.66</v>
      </c>
      <c r="C151" s="33">
        <v>19.61</v>
      </c>
      <c r="D151" s="34">
        <v>413</v>
      </c>
      <c r="E151" s="34">
        <v>88</v>
      </c>
      <c r="F151" s="35">
        <v>0.75129999999999997</v>
      </c>
      <c r="G151" s="36" t="s">
        <v>157</v>
      </c>
      <c r="H151" s="37">
        <v>1</v>
      </c>
    </row>
    <row r="152" spans="1:8" x14ac:dyDescent="0.3">
      <c r="A152" s="24">
        <v>45807</v>
      </c>
      <c r="B152" s="25">
        <v>22501.119999999999</v>
      </c>
      <c r="C152" s="26">
        <v>19.34</v>
      </c>
      <c r="D152" s="27">
        <v>127</v>
      </c>
      <c r="E152" s="27">
        <v>746</v>
      </c>
      <c r="F152" s="28">
        <v>1.1113999999999999</v>
      </c>
      <c r="G152" s="29" t="s">
        <v>158</v>
      </c>
      <c r="H152" s="30">
        <v>1</v>
      </c>
    </row>
    <row r="153" spans="1:8" x14ac:dyDescent="0.3">
      <c r="A153" s="31">
        <v>45808</v>
      </c>
      <c r="B153" s="32">
        <v>22555.85</v>
      </c>
      <c r="C153" s="33">
        <v>20.72</v>
      </c>
      <c r="D153" s="34">
        <v>646</v>
      </c>
      <c r="E153" s="34">
        <v>-499</v>
      </c>
      <c r="F153" s="35">
        <v>0.83919999999999995</v>
      </c>
      <c r="G153" s="36" t="s">
        <v>159</v>
      </c>
      <c r="H153" s="38">
        <v>0</v>
      </c>
    </row>
    <row r="154" spans="1:8" x14ac:dyDescent="0.3">
      <c r="A154" s="24">
        <v>45809</v>
      </c>
      <c r="B154" s="25">
        <v>22629.16</v>
      </c>
      <c r="C154" s="26">
        <v>18.59</v>
      </c>
      <c r="D154" s="27">
        <v>1415</v>
      </c>
      <c r="E154" s="27">
        <v>-252</v>
      </c>
      <c r="F154" s="28">
        <v>0.78990000000000005</v>
      </c>
      <c r="G154" s="29" t="s">
        <v>160</v>
      </c>
      <c r="H154" s="39">
        <v>0</v>
      </c>
    </row>
    <row r="155" spans="1:8" x14ac:dyDescent="0.3">
      <c r="A155" s="31">
        <v>45810</v>
      </c>
      <c r="B155" s="32">
        <v>22505.49</v>
      </c>
      <c r="C155" s="33">
        <v>17.82</v>
      </c>
      <c r="D155" s="34">
        <v>160</v>
      </c>
      <c r="E155" s="34">
        <v>-69</v>
      </c>
      <c r="F155" s="35">
        <v>0.63890000000000002</v>
      </c>
      <c r="G155" s="36" t="s">
        <v>161</v>
      </c>
      <c r="H155" s="38">
        <v>0</v>
      </c>
    </row>
    <row r="156" spans="1:8" x14ac:dyDescent="0.3">
      <c r="A156" s="24">
        <v>45811</v>
      </c>
      <c r="B156" s="25">
        <v>22556.73</v>
      </c>
      <c r="C156" s="26">
        <v>17.84</v>
      </c>
      <c r="D156" s="27">
        <v>53</v>
      </c>
      <c r="E156" s="27">
        <v>191</v>
      </c>
      <c r="F156" s="28">
        <v>0.82089999999999996</v>
      </c>
      <c r="G156" s="29" t="s">
        <v>162</v>
      </c>
      <c r="H156" s="30">
        <v>1</v>
      </c>
    </row>
    <row r="157" spans="1:8" x14ac:dyDescent="0.3">
      <c r="A157" s="31">
        <v>45812</v>
      </c>
      <c r="B157" s="32">
        <v>22619.78</v>
      </c>
      <c r="C157" s="33">
        <v>17.91</v>
      </c>
      <c r="D157" s="34">
        <v>-401</v>
      </c>
      <c r="E157" s="34">
        <v>1020</v>
      </c>
      <c r="F157" s="35">
        <v>0.7399</v>
      </c>
      <c r="G157" s="36" t="s">
        <v>163</v>
      </c>
      <c r="H157" s="37">
        <v>1</v>
      </c>
    </row>
    <row r="158" spans="1:8" x14ac:dyDescent="0.3">
      <c r="A158" s="24">
        <v>45813</v>
      </c>
      <c r="B158" s="25">
        <v>22489.59</v>
      </c>
      <c r="C158" s="26">
        <v>17.38</v>
      </c>
      <c r="D158" s="27">
        <v>1001</v>
      </c>
      <c r="E158" s="27">
        <v>-155</v>
      </c>
      <c r="F158" s="28">
        <v>1.0876999999999999</v>
      </c>
      <c r="G158" s="29" t="s">
        <v>164</v>
      </c>
      <c r="H158" s="41">
        <v>-1</v>
      </c>
    </row>
    <row r="159" spans="1:8" x14ac:dyDescent="0.3">
      <c r="A159" s="31">
        <v>45814</v>
      </c>
      <c r="B159" s="32">
        <v>22855.95</v>
      </c>
      <c r="C159" s="33">
        <v>18.18</v>
      </c>
      <c r="D159" s="34">
        <v>1556</v>
      </c>
      <c r="E159" s="34">
        <v>-477</v>
      </c>
      <c r="F159" s="35">
        <v>1.0239</v>
      </c>
      <c r="G159" s="36" t="s">
        <v>165</v>
      </c>
      <c r="H159" s="37">
        <v>1</v>
      </c>
    </row>
    <row r="160" spans="1:8" x14ac:dyDescent="0.3">
      <c r="A160" s="24">
        <v>45815</v>
      </c>
      <c r="B160" s="25">
        <v>22955.08</v>
      </c>
      <c r="C160" s="26">
        <v>16.88</v>
      </c>
      <c r="D160" s="27">
        <v>416</v>
      </c>
      <c r="E160" s="27">
        <v>-667</v>
      </c>
      <c r="F160" s="28">
        <v>0.80059999999999998</v>
      </c>
      <c r="G160" s="29" t="s">
        <v>166</v>
      </c>
      <c r="H160" s="41">
        <v>-1</v>
      </c>
    </row>
    <row r="161" spans="1:8" x14ac:dyDescent="0.3">
      <c r="A161" s="31">
        <v>45816</v>
      </c>
      <c r="B161" s="32">
        <v>22730.63</v>
      </c>
      <c r="C161" s="33">
        <v>16.8</v>
      </c>
      <c r="D161" s="34">
        <v>-939</v>
      </c>
      <c r="E161" s="34">
        <v>996</v>
      </c>
      <c r="F161" s="35">
        <v>1.1523000000000001</v>
      </c>
      <c r="G161" s="36" t="s">
        <v>167</v>
      </c>
      <c r="H161" s="37">
        <v>1</v>
      </c>
    </row>
    <row r="162" spans="1:8" x14ac:dyDescent="0.3">
      <c r="A162" s="24">
        <v>45817</v>
      </c>
      <c r="B162" s="25">
        <v>22864.7</v>
      </c>
      <c r="C162" s="26">
        <v>17.04</v>
      </c>
      <c r="D162" s="27">
        <v>672</v>
      </c>
      <c r="E162" s="27">
        <v>220</v>
      </c>
      <c r="F162" s="28">
        <v>1.0034000000000001</v>
      </c>
      <c r="G162" s="29" t="s">
        <v>168</v>
      </c>
      <c r="H162" s="41">
        <v>-1</v>
      </c>
    </row>
    <row r="163" spans="1:8" x14ac:dyDescent="0.3">
      <c r="A163" s="31">
        <v>45818</v>
      </c>
      <c r="B163" s="32">
        <v>22682.86</v>
      </c>
      <c r="C163" s="33">
        <v>17.73</v>
      </c>
      <c r="D163" s="34">
        <v>-838</v>
      </c>
      <c r="E163" s="34">
        <v>1659</v>
      </c>
      <c r="F163" s="35">
        <v>0.85699999999999998</v>
      </c>
      <c r="G163" s="36" t="s">
        <v>169</v>
      </c>
      <c r="H163" s="37">
        <v>1</v>
      </c>
    </row>
    <row r="164" spans="1:8" x14ac:dyDescent="0.3">
      <c r="A164" s="24">
        <v>45819</v>
      </c>
      <c r="B164" s="25">
        <v>22841.97</v>
      </c>
      <c r="C164" s="26">
        <v>18.61</v>
      </c>
      <c r="D164" s="27">
        <v>314</v>
      </c>
      <c r="E164" s="27">
        <v>-95</v>
      </c>
      <c r="F164" s="28">
        <v>0.60919999999999996</v>
      </c>
      <c r="G164" s="29" t="s">
        <v>170</v>
      </c>
      <c r="H164" s="41">
        <v>-1</v>
      </c>
    </row>
    <row r="165" spans="1:8" x14ac:dyDescent="0.3">
      <c r="A165" s="31">
        <v>45820</v>
      </c>
      <c r="B165" s="32">
        <v>23074.95</v>
      </c>
      <c r="C165" s="33">
        <v>17.21</v>
      </c>
      <c r="D165" s="34">
        <v>627</v>
      </c>
      <c r="E165" s="34">
        <v>27</v>
      </c>
      <c r="F165" s="35">
        <v>1.1631</v>
      </c>
      <c r="G165" s="36" t="s">
        <v>171</v>
      </c>
      <c r="H165" s="37">
        <v>1</v>
      </c>
    </row>
    <row r="166" spans="1:8" x14ac:dyDescent="0.3">
      <c r="A166" s="24">
        <v>45821</v>
      </c>
      <c r="B166" s="25">
        <v>22921.42</v>
      </c>
      <c r="C166" s="26">
        <v>15.43</v>
      </c>
      <c r="D166" s="27">
        <v>-648</v>
      </c>
      <c r="E166" s="27">
        <v>616</v>
      </c>
      <c r="F166" s="28">
        <v>0.69469999999999998</v>
      </c>
      <c r="G166" s="29" t="s">
        <v>172</v>
      </c>
      <c r="H166" s="30">
        <v>1</v>
      </c>
    </row>
    <row r="167" spans="1:8" x14ac:dyDescent="0.3">
      <c r="A167" s="31">
        <v>45822</v>
      </c>
      <c r="B167" s="32">
        <v>23116.82</v>
      </c>
      <c r="C167" s="33">
        <v>17.170000000000002</v>
      </c>
      <c r="D167" s="34">
        <v>473</v>
      </c>
      <c r="E167" s="34">
        <v>776</v>
      </c>
      <c r="F167" s="35">
        <v>0.69010000000000005</v>
      </c>
      <c r="G167" s="36" t="s">
        <v>173</v>
      </c>
      <c r="H167" s="40">
        <v>-1</v>
      </c>
    </row>
    <row r="168" spans="1:8" x14ac:dyDescent="0.3">
      <c r="A168" s="24">
        <v>45823</v>
      </c>
      <c r="B168" s="25">
        <v>23205.03</v>
      </c>
      <c r="C168" s="26">
        <v>17.64</v>
      </c>
      <c r="D168" s="27">
        <v>-69</v>
      </c>
      <c r="E168" s="27">
        <v>183</v>
      </c>
      <c r="F168" s="28">
        <v>1.0173000000000001</v>
      </c>
      <c r="G168" s="29" t="s">
        <v>174</v>
      </c>
      <c r="H168" s="30">
        <v>1</v>
      </c>
    </row>
    <row r="169" spans="1:8" x14ac:dyDescent="0.3">
      <c r="A169" s="31">
        <v>45824</v>
      </c>
      <c r="B169" s="32">
        <v>23374.75</v>
      </c>
      <c r="C169" s="33">
        <v>16.77</v>
      </c>
      <c r="D169" s="34">
        <v>750</v>
      </c>
      <c r="E169" s="34">
        <v>2</v>
      </c>
      <c r="F169" s="35">
        <v>1.1742999999999999</v>
      </c>
      <c r="G169" s="36" t="s">
        <v>175</v>
      </c>
      <c r="H169" s="38">
        <v>0</v>
      </c>
    </row>
    <row r="170" spans="1:8" x14ac:dyDescent="0.3">
      <c r="A170" s="24">
        <v>45825</v>
      </c>
      <c r="B170" s="25">
        <v>23761.8</v>
      </c>
      <c r="C170" s="26">
        <v>18.73</v>
      </c>
      <c r="D170" s="27">
        <v>1393</v>
      </c>
      <c r="E170" s="27">
        <v>-123</v>
      </c>
      <c r="F170" s="28">
        <v>1.0770999999999999</v>
      </c>
      <c r="G170" s="29" t="s">
        <v>176</v>
      </c>
      <c r="H170" s="41">
        <v>-1</v>
      </c>
    </row>
    <row r="171" spans="1:8" x14ac:dyDescent="0.3">
      <c r="A171" s="31">
        <v>45826</v>
      </c>
      <c r="B171" s="32">
        <v>23719.4</v>
      </c>
      <c r="C171" s="33">
        <v>18.809999999999999</v>
      </c>
      <c r="D171" s="34">
        <v>734</v>
      </c>
      <c r="E171" s="34">
        <v>-37</v>
      </c>
      <c r="F171" s="35">
        <v>0.9798</v>
      </c>
      <c r="G171" s="36" t="s">
        <v>177</v>
      </c>
      <c r="H171" s="40">
        <v>-1</v>
      </c>
    </row>
    <row r="172" spans="1:8" x14ac:dyDescent="0.3">
      <c r="A172" s="24">
        <v>45827</v>
      </c>
      <c r="B172" s="25">
        <v>23574.99</v>
      </c>
      <c r="C172" s="26">
        <v>20.16</v>
      </c>
      <c r="D172" s="27">
        <v>-2165</v>
      </c>
      <c r="E172" s="27">
        <v>951</v>
      </c>
      <c r="F172" s="28">
        <v>1.0038</v>
      </c>
      <c r="G172" s="29" t="s">
        <v>178</v>
      </c>
      <c r="H172" s="39">
        <v>0</v>
      </c>
    </row>
    <row r="173" spans="1:8" x14ac:dyDescent="0.3">
      <c r="A173" s="31">
        <v>45828</v>
      </c>
      <c r="B173" s="32">
        <v>23404.43</v>
      </c>
      <c r="C173" s="33">
        <v>20.07</v>
      </c>
      <c r="D173" s="34">
        <v>-28</v>
      </c>
      <c r="E173" s="34">
        <v>310</v>
      </c>
      <c r="F173" s="35">
        <v>1.0335000000000001</v>
      </c>
      <c r="G173" s="36" t="s">
        <v>179</v>
      </c>
      <c r="H173" s="37">
        <v>1</v>
      </c>
    </row>
    <row r="174" spans="1:8" x14ac:dyDescent="0.3">
      <c r="A174" s="24">
        <v>45829</v>
      </c>
      <c r="B174" s="25">
        <v>23249.67</v>
      </c>
      <c r="C174" s="26">
        <v>22.38</v>
      </c>
      <c r="D174" s="27">
        <v>123</v>
      </c>
      <c r="E174" s="27">
        <v>681</v>
      </c>
      <c r="F174" s="28">
        <v>1.0568</v>
      </c>
      <c r="G174" s="29" t="s">
        <v>180</v>
      </c>
      <c r="H174" s="41">
        <v>-1</v>
      </c>
    </row>
    <row r="175" spans="1:8" x14ac:dyDescent="0.3">
      <c r="A175" s="31">
        <v>45830</v>
      </c>
      <c r="B175" s="32">
        <v>23241.41</v>
      </c>
      <c r="C175" s="33">
        <v>24.14</v>
      </c>
      <c r="D175" s="34">
        <v>-1277</v>
      </c>
      <c r="E175" s="34">
        <v>261</v>
      </c>
      <c r="F175" s="35">
        <v>1.0258</v>
      </c>
      <c r="G175" s="36" t="s">
        <v>181</v>
      </c>
      <c r="H175" s="38">
        <v>0</v>
      </c>
    </row>
    <row r="176" spans="1:8" x14ac:dyDescent="0.3">
      <c r="A176" s="24">
        <v>45831</v>
      </c>
      <c r="B176" s="25">
        <v>23315.9</v>
      </c>
      <c r="C176" s="26">
        <v>23.35</v>
      </c>
      <c r="D176" s="27">
        <v>96</v>
      </c>
      <c r="E176" s="27">
        <v>223</v>
      </c>
      <c r="F176" s="28">
        <v>0.99280000000000002</v>
      </c>
      <c r="G176" s="29" t="s">
        <v>182</v>
      </c>
      <c r="H176" s="39">
        <v>0</v>
      </c>
    </row>
    <row r="177" spans="1:8" x14ac:dyDescent="0.3">
      <c r="A177" s="31">
        <v>45832</v>
      </c>
      <c r="B177" s="32">
        <v>23377.81</v>
      </c>
      <c r="C177" s="33">
        <v>24.09</v>
      </c>
      <c r="D177" s="34">
        <v>27</v>
      </c>
      <c r="E177" s="34">
        <v>-162</v>
      </c>
      <c r="F177" s="35">
        <v>0.98380000000000001</v>
      </c>
      <c r="G177" s="36" t="s">
        <v>183</v>
      </c>
      <c r="H177" s="37">
        <v>1</v>
      </c>
    </row>
    <row r="178" spans="1:8" x14ac:dyDescent="0.3">
      <c r="A178" s="24">
        <v>45833</v>
      </c>
      <c r="B178" s="25">
        <v>23549.82</v>
      </c>
      <c r="C178" s="26">
        <v>24.38</v>
      </c>
      <c r="D178" s="27">
        <v>-155</v>
      </c>
      <c r="E178" s="27">
        <v>867</v>
      </c>
      <c r="F178" s="28">
        <v>0.9052</v>
      </c>
      <c r="G178" s="29" t="s">
        <v>184</v>
      </c>
      <c r="H178" s="41">
        <v>-1</v>
      </c>
    </row>
    <row r="179" spans="1:8" x14ac:dyDescent="0.3">
      <c r="A179" s="31">
        <v>45834</v>
      </c>
      <c r="B179" s="32">
        <v>23559.49</v>
      </c>
      <c r="C179" s="33">
        <v>25.51</v>
      </c>
      <c r="D179" s="34">
        <v>-428</v>
      </c>
      <c r="E179" s="34">
        <v>-369</v>
      </c>
      <c r="F179" s="35">
        <v>0.97899999999999998</v>
      </c>
      <c r="G179" s="36" t="s">
        <v>185</v>
      </c>
      <c r="H179" s="37">
        <v>1</v>
      </c>
    </row>
    <row r="180" spans="1:8" x14ac:dyDescent="0.3">
      <c r="A180" s="24">
        <v>45835</v>
      </c>
      <c r="B180" s="25">
        <v>23859.53</v>
      </c>
      <c r="C180" s="26">
        <v>23.75</v>
      </c>
      <c r="D180" s="27">
        <v>525</v>
      </c>
      <c r="E180" s="27">
        <v>-316</v>
      </c>
      <c r="F180" s="28">
        <v>0.78310000000000002</v>
      </c>
      <c r="G180" s="29" t="s">
        <v>186</v>
      </c>
      <c r="H180" s="39">
        <v>0</v>
      </c>
    </row>
    <row r="181" spans="1:8" x14ac:dyDescent="0.3">
      <c r="A181" s="31">
        <v>45836</v>
      </c>
      <c r="B181" s="32">
        <v>23813.06</v>
      </c>
      <c r="C181" s="33">
        <v>24.11</v>
      </c>
      <c r="D181" s="34">
        <v>868</v>
      </c>
      <c r="E181" s="34">
        <v>-2</v>
      </c>
      <c r="F181" s="35">
        <v>0.9798</v>
      </c>
      <c r="G181" s="36" t="s">
        <v>187</v>
      </c>
      <c r="H181" s="40">
        <v>-1</v>
      </c>
    </row>
    <row r="182" spans="1:8" x14ac:dyDescent="0.3">
      <c r="A182" s="24">
        <v>45837</v>
      </c>
      <c r="B182" s="25">
        <v>24377.38</v>
      </c>
      <c r="C182" s="26">
        <v>24.89</v>
      </c>
      <c r="D182" s="27">
        <v>2766</v>
      </c>
      <c r="E182" s="27">
        <v>-262</v>
      </c>
      <c r="F182" s="28">
        <v>0.88470000000000004</v>
      </c>
      <c r="G182" s="29" t="s">
        <v>188</v>
      </c>
      <c r="H182" s="30">
        <v>1</v>
      </c>
    </row>
    <row r="183" spans="1:8" x14ac:dyDescent="0.3">
      <c r="A183" s="31">
        <v>45838</v>
      </c>
      <c r="B183" s="32">
        <v>24514.720000000001</v>
      </c>
      <c r="C183" s="33">
        <v>22.23</v>
      </c>
      <c r="D183" s="34">
        <v>1292</v>
      </c>
      <c r="E183" s="34">
        <v>-414</v>
      </c>
      <c r="F183" s="35">
        <v>0.83099999999999996</v>
      </c>
      <c r="G183" s="36" t="s">
        <v>189</v>
      </c>
      <c r="H183" s="38">
        <v>0</v>
      </c>
    </row>
    <row r="184" spans="1:8" x14ac:dyDescent="0.3">
      <c r="A184" s="24">
        <v>45839</v>
      </c>
      <c r="B184" s="25">
        <v>24344.06</v>
      </c>
      <c r="C184" s="26">
        <v>20.47</v>
      </c>
      <c r="D184" s="27">
        <v>-224</v>
      </c>
      <c r="E184" s="27">
        <v>23</v>
      </c>
      <c r="F184" s="28">
        <v>0.95860000000000001</v>
      </c>
      <c r="G184" s="29" t="s">
        <v>190</v>
      </c>
      <c r="H184" s="39">
        <v>0</v>
      </c>
    </row>
    <row r="185" spans="1:8" x14ac:dyDescent="0.3">
      <c r="A185" s="31">
        <v>45840</v>
      </c>
      <c r="B185" s="32">
        <v>24130.71</v>
      </c>
      <c r="C185" s="33">
        <v>17.829999999999998</v>
      </c>
      <c r="D185" s="34">
        <v>-1506</v>
      </c>
      <c r="E185" s="34">
        <v>1818</v>
      </c>
      <c r="F185" s="35">
        <v>1.0645</v>
      </c>
      <c r="G185" s="36" t="s">
        <v>191</v>
      </c>
      <c r="H185" s="38">
        <v>0</v>
      </c>
    </row>
    <row r="186" spans="1:8" x14ac:dyDescent="0.3">
      <c r="A186" s="24">
        <v>45841</v>
      </c>
      <c r="B186" s="25">
        <v>24237.14</v>
      </c>
      <c r="C186" s="26">
        <v>17.52</v>
      </c>
      <c r="D186" s="27">
        <v>100</v>
      </c>
      <c r="E186" s="27">
        <v>-569</v>
      </c>
      <c r="F186" s="28">
        <v>1.0029999999999999</v>
      </c>
      <c r="G186" s="29" t="s">
        <v>192</v>
      </c>
      <c r="H186" s="41">
        <v>-1</v>
      </c>
    </row>
    <row r="187" spans="1:8" x14ac:dyDescent="0.3">
      <c r="A187" s="31">
        <v>45842</v>
      </c>
      <c r="B187" s="32">
        <v>24198.41</v>
      </c>
      <c r="C187" s="33">
        <v>18.420000000000002</v>
      </c>
      <c r="D187" s="34">
        <v>143</v>
      </c>
      <c r="E187" s="34">
        <v>-964</v>
      </c>
      <c r="F187" s="35">
        <v>0.71779999999999999</v>
      </c>
      <c r="G187" s="36" t="s">
        <v>193</v>
      </c>
      <c r="H187" s="37">
        <v>1</v>
      </c>
    </row>
    <row r="188" spans="1:8" x14ac:dyDescent="0.3">
      <c r="A188" s="24">
        <v>45843</v>
      </c>
      <c r="B188" s="25">
        <v>24353.02</v>
      </c>
      <c r="C188" s="26">
        <v>20.190000000000001</v>
      </c>
      <c r="D188" s="27">
        <v>-134</v>
      </c>
      <c r="E188" s="27">
        <v>480</v>
      </c>
      <c r="F188" s="28">
        <v>0.81410000000000005</v>
      </c>
      <c r="G188" s="29" t="s">
        <v>194</v>
      </c>
      <c r="H188" s="30">
        <v>1</v>
      </c>
    </row>
    <row r="189" spans="1:8" x14ac:dyDescent="0.3">
      <c r="A189" s="31">
        <v>45844</v>
      </c>
      <c r="B189" s="32">
        <v>24458.51</v>
      </c>
      <c r="C189" s="33">
        <v>20.100000000000001</v>
      </c>
      <c r="D189" s="34">
        <v>835</v>
      </c>
      <c r="E189" s="34">
        <v>-427</v>
      </c>
      <c r="F189" s="35">
        <v>1.0444</v>
      </c>
      <c r="G189" s="36" t="s">
        <v>195</v>
      </c>
      <c r="H189" s="38">
        <v>0</v>
      </c>
    </row>
    <row r="190" spans="1:8" x14ac:dyDescent="0.3">
      <c r="A190" s="24">
        <v>45845</v>
      </c>
      <c r="B190" s="25">
        <v>24450.71</v>
      </c>
      <c r="C190" s="26">
        <v>21.89</v>
      </c>
      <c r="D190" s="27">
        <v>-174</v>
      </c>
      <c r="E190" s="27">
        <v>-232</v>
      </c>
      <c r="F190" s="28">
        <v>0.84050000000000002</v>
      </c>
      <c r="G190" s="29" t="s">
        <v>196</v>
      </c>
      <c r="H190" s="39">
        <v>0</v>
      </c>
    </row>
    <row r="191" spans="1:8" x14ac:dyDescent="0.3">
      <c r="A191" s="31">
        <v>45846</v>
      </c>
      <c r="B191" s="32">
        <v>24282.639999999999</v>
      </c>
      <c r="C191" s="33">
        <v>19.920000000000002</v>
      </c>
      <c r="D191" s="34">
        <v>-874</v>
      </c>
      <c r="E191" s="34">
        <v>947</v>
      </c>
      <c r="F191" s="35">
        <v>0.90180000000000005</v>
      </c>
      <c r="G191" s="36" t="s">
        <v>197</v>
      </c>
      <c r="H191" s="40">
        <v>-1</v>
      </c>
    </row>
    <row r="192" spans="1:8" x14ac:dyDescent="0.3">
      <c r="A192" s="24">
        <v>45847</v>
      </c>
      <c r="B192" s="25">
        <v>23979.17</v>
      </c>
      <c r="C192" s="26">
        <v>17.72</v>
      </c>
      <c r="D192" s="27">
        <v>-757</v>
      </c>
      <c r="E192" s="27">
        <v>663</v>
      </c>
      <c r="F192" s="28">
        <v>0.96179999999999999</v>
      </c>
      <c r="G192" s="29" t="s">
        <v>198</v>
      </c>
      <c r="H192" s="41">
        <v>-1</v>
      </c>
    </row>
    <row r="193" spans="1:8" x14ac:dyDescent="0.3">
      <c r="A193" s="31">
        <v>45848</v>
      </c>
      <c r="B193" s="32">
        <v>23895.5</v>
      </c>
      <c r="C193" s="33">
        <v>17.68</v>
      </c>
      <c r="D193" s="34">
        <v>-62</v>
      </c>
      <c r="E193" s="34">
        <v>-54</v>
      </c>
      <c r="F193" s="35">
        <v>0.77900000000000003</v>
      </c>
      <c r="G193" s="36" t="s">
        <v>199</v>
      </c>
      <c r="H193" s="37">
        <v>1</v>
      </c>
    </row>
    <row r="194" spans="1:8" x14ac:dyDescent="0.3">
      <c r="A194" s="24">
        <v>45849</v>
      </c>
      <c r="B194" s="25">
        <v>24077.3</v>
      </c>
      <c r="C194" s="26">
        <v>18.170000000000002</v>
      </c>
      <c r="D194" s="27">
        <v>497</v>
      </c>
      <c r="E194" s="27">
        <v>-664</v>
      </c>
      <c r="F194" s="28">
        <v>0.91520000000000001</v>
      </c>
      <c r="G194" s="29" t="s">
        <v>200</v>
      </c>
      <c r="H194" s="39">
        <v>0</v>
      </c>
    </row>
    <row r="195" spans="1:8" x14ac:dyDescent="0.3">
      <c r="A195" s="31">
        <v>45850</v>
      </c>
      <c r="B195" s="32">
        <v>24128.39</v>
      </c>
      <c r="C195" s="33">
        <v>18.12</v>
      </c>
      <c r="D195" s="34">
        <v>895</v>
      </c>
      <c r="E195" s="34">
        <v>233</v>
      </c>
      <c r="F195" s="35">
        <v>0.74170000000000003</v>
      </c>
      <c r="G195" s="36" t="s">
        <v>201</v>
      </c>
      <c r="H195" s="38">
        <v>0</v>
      </c>
    </row>
    <row r="196" spans="1:8" x14ac:dyDescent="0.3">
      <c r="A196" s="24">
        <v>45851</v>
      </c>
      <c r="B196" s="25">
        <v>23881.41</v>
      </c>
      <c r="C196" s="26">
        <v>15.63</v>
      </c>
      <c r="D196" s="27">
        <v>-1617</v>
      </c>
      <c r="E196" s="27">
        <v>1253</v>
      </c>
      <c r="F196" s="28">
        <v>0.7923</v>
      </c>
      <c r="G196" s="29" t="s">
        <v>202</v>
      </c>
      <c r="H196" s="30">
        <v>1</v>
      </c>
    </row>
    <row r="197" spans="1:8" x14ac:dyDescent="0.3">
      <c r="A197" s="31">
        <v>45852</v>
      </c>
      <c r="B197" s="32">
        <v>23923.77</v>
      </c>
      <c r="C197" s="33">
        <v>15.71</v>
      </c>
      <c r="D197" s="34">
        <v>536</v>
      </c>
      <c r="E197" s="34">
        <v>-91</v>
      </c>
      <c r="F197" s="35">
        <v>0.90400000000000003</v>
      </c>
      <c r="G197" s="36" t="s">
        <v>203</v>
      </c>
      <c r="H197" s="40">
        <v>-1</v>
      </c>
    </row>
    <row r="198" spans="1:8" x14ac:dyDescent="0.3">
      <c r="A198" s="24">
        <v>45853</v>
      </c>
      <c r="B198" s="25">
        <v>24009.46</v>
      </c>
      <c r="C198" s="26">
        <v>14.33</v>
      </c>
      <c r="D198" s="27">
        <v>692</v>
      </c>
      <c r="E198" s="27">
        <v>812</v>
      </c>
      <c r="F198" s="28">
        <v>0.65380000000000005</v>
      </c>
      <c r="G198" s="29" t="s">
        <v>204</v>
      </c>
      <c r="H198" s="41">
        <v>-1</v>
      </c>
    </row>
    <row r="199" spans="1:8" x14ac:dyDescent="0.3">
      <c r="A199" s="31">
        <v>45854</v>
      </c>
      <c r="B199" s="32">
        <v>23836.91</v>
      </c>
      <c r="C199" s="33">
        <v>15.43</v>
      </c>
      <c r="D199" s="34">
        <v>-865</v>
      </c>
      <c r="E199" s="34">
        <v>54</v>
      </c>
      <c r="F199" s="35">
        <v>0.9143</v>
      </c>
      <c r="G199" s="36" t="s">
        <v>205</v>
      </c>
      <c r="H199" s="37">
        <v>1</v>
      </c>
    </row>
    <row r="200" spans="1:8" x14ac:dyDescent="0.3">
      <c r="A200" s="24">
        <v>45855</v>
      </c>
      <c r="B200" s="25">
        <v>23875.24</v>
      </c>
      <c r="C200" s="26">
        <v>16.079999999999998</v>
      </c>
      <c r="D200" s="27">
        <v>347</v>
      </c>
      <c r="E200" s="27">
        <v>-719</v>
      </c>
      <c r="F200" s="28">
        <v>0.86880000000000002</v>
      </c>
      <c r="G200" s="29" t="s">
        <v>206</v>
      </c>
      <c r="H200" s="41">
        <v>-1</v>
      </c>
    </row>
    <row r="201" spans="1:8" x14ac:dyDescent="0.3">
      <c r="A201" s="31">
        <v>45856</v>
      </c>
      <c r="B201" s="32">
        <v>23894.22</v>
      </c>
      <c r="C201" s="33">
        <v>15.11</v>
      </c>
      <c r="D201" s="34">
        <v>-676</v>
      </c>
      <c r="E201" s="34">
        <v>158</v>
      </c>
      <c r="F201" s="35">
        <v>0.92290000000000005</v>
      </c>
      <c r="G201" s="36" t="s">
        <v>207</v>
      </c>
      <c r="H201" s="40">
        <v>-1</v>
      </c>
    </row>
    <row r="202" spans="1:8" x14ac:dyDescent="0.3">
      <c r="A202" s="24">
        <v>45857</v>
      </c>
      <c r="B202" s="25">
        <v>23670.31</v>
      </c>
      <c r="C202" s="26">
        <v>14.72</v>
      </c>
      <c r="D202" s="27">
        <v>-332</v>
      </c>
      <c r="E202" s="27">
        <v>327</v>
      </c>
      <c r="F202" s="28">
        <v>0.87770000000000004</v>
      </c>
      <c r="G202" s="29" t="s">
        <v>208</v>
      </c>
      <c r="H202" s="30">
        <v>1</v>
      </c>
    </row>
    <row r="203" spans="1:8" x14ac:dyDescent="0.3">
      <c r="A203" s="31">
        <v>45858</v>
      </c>
      <c r="B203" s="32">
        <v>23749.53</v>
      </c>
      <c r="C203" s="33">
        <v>13.71</v>
      </c>
      <c r="D203" s="34">
        <v>204</v>
      </c>
      <c r="E203" s="34">
        <v>230</v>
      </c>
      <c r="F203" s="35">
        <v>0.99929999999999997</v>
      </c>
      <c r="G203" s="36" t="s">
        <v>209</v>
      </c>
      <c r="H203" s="37">
        <v>1</v>
      </c>
    </row>
    <row r="204" spans="1:8" x14ac:dyDescent="0.3">
      <c r="A204" s="24">
        <v>45859</v>
      </c>
      <c r="B204" s="25">
        <v>23870.17</v>
      </c>
      <c r="C204" s="26">
        <v>13.98</v>
      </c>
      <c r="D204" s="27">
        <v>163</v>
      </c>
      <c r="E204" s="27">
        <v>6</v>
      </c>
      <c r="F204" s="28">
        <v>0.85470000000000002</v>
      </c>
      <c r="G204" s="29" t="s">
        <v>210</v>
      </c>
      <c r="H204" s="30">
        <v>1</v>
      </c>
    </row>
    <row r="205" spans="1:8" x14ac:dyDescent="0.3">
      <c r="A205" s="31">
        <v>45860</v>
      </c>
      <c r="B205" s="32">
        <v>24098.16</v>
      </c>
      <c r="C205" s="33">
        <v>15.45</v>
      </c>
      <c r="D205" s="34">
        <v>1524</v>
      </c>
      <c r="E205" s="34">
        <v>-310</v>
      </c>
      <c r="F205" s="35">
        <v>0.81020000000000003</v>
      </c>
      <c r="G205" s="36" t="s">
        <v>211</v>
      </c>
      <c r="H205" s="40">
        <v>-1</v>
      </c>
    </row>
    <row r="206" spans="1:8" x14ac:dyDescent="0.3">
      <c r="A206" s="24">
        <v>45861</v>
      </c>
      <c r="B206" s="25">
        <v>24322.28</v>
      </c>
      <c r="C206" s="26">
        <v>14.47</v>
      </c>
      <c r="D206" s="27">
        <v>449</v>
      </c>
      <c r="E206" s="27">
        <v>-628</v>
      </c>
      <c r="F206" s="28">
        <v>0.86170000000000002</v>
      </c>
      <c r="G206" s="29" t="s">
        <v>212</v>
      </c>
      <c r="H206" s="41">
        <v>-1</v>
      </c>
    </row>
    <row r="207" spans="1:8" x14ac:dyDescent="0.3">
      <c r="A207" s="31">
        <v>45862</v>
      </c>
      <c r="B207" s="32">
        <v>24046.34</v>
      </c>
      <c r="C207" s="33">
        <v>15.36</v>
      </c>
      <c r="D207" s="34">
        <v>-1919</v>
      </c>
      <c r="E207" s="34">
        <v>1785</v>
      </c>
      <c r="F207" s="35">
        <v>0.92559999999999998</v>
      </c>
      <c r="G207" s="36" t="s">
        <v>213</v>
      </c>
      <c r="H207" s="37">
        <v>1</v>
      </c>
    </row>
    <row r="208" spans="1:8" x14ac:dyDescent="0.3">
      <c r="A208" s="24">
        <v>45863</v>
      </c>
      <c r="B208" s="25">
        <v>23862.57</v>
      </c>
      <c r="C208" s="26">
        <v>14.93</v>
      </c>
      <c r="D208" s="27">
        <v>-1656</v>
      </c>
      <c r="E208" s="27">
        <v>904</v>
      </c>
      <c r="F208" s="28">
        <v>0.85980000000000001</v>
      </c>
      <c r="G208" s="29" t="s">
        <v>214</v>
      </c>
      <c r="H208" s="39">
        <v>0</v>
      </c>
    </row>
    <row r="209" spans="1:8" x14ac:dyDescent="0.3">
      <c r="A209" s="31">
        <v>45864</v>
      </c>
      <c r="B209" s="32">
        <v>23974.46</v>
      </c>
      <c r="C209" s="33">
        <v>14.22</v>
      </c>
      <c r="D209" s="34">
        <v>804</v>
      </c>
      <c r="E209" s="34">
        <v>397</v>
      </c>
      <c r="F209" s="35">
        <v>0.84819999999999995</v>
      </c>
      <c r="G209" s="36" t="s">
        <v>215</v>
      </c>
      <c r="H209" s="37">
        <v>1</v>
      </c>
    </row>
    <row r="210" spans="1:8" x14ac:dyDescent="0.3">
      <c r="A210" s="24">
        <v>45865</v>
      </c>
      <c r="B210" s="25">
        <v>24086.61</v>
      </c>
      <c r="C210" s="26">
        <v>14.39</v>
      </c>
      <c r="D210" s="27">
        <v>-329</v>
      </c>
      <c r="E210" s="27">
        <v>519</v>
      </c>
      <c r="F210" s="28">
        <v>0.76160000000000005</v>
      </c>
      <c r="G210" s="29" t="s">
        <v>216</v>
      </c>
      <c r="H210" s="39">
        <v>0</v>
      </c>
    </row>
    <row r="211" spans="1:8" x14ac:dyDescent="0.3">
      <c r="A211" s="31">
        <v>45866</v>
      </c>
      <c r="B211" s="32">
        <v>24199.55</v>
      </c>
      <c r="C211" s="33">
        <v>13.44</v>
      </c>
      <c r="D211" s="34">
        <v>1493</v>
      </c>
      <c r="E211" s="34">
        <v>-243</v>
      </c>
      <c r="F211" s="35">
        <v>0.75209999999999999</v>
      </c>
      <c r="G211" s="36" t="s">
        <v>217</v>
      </c>
      <c r="H211" s="37">
        <v>1</v>
      </c>
    </row>
    <row r="212" spans="1:8" x14ac:dyDescent="0.3">
      <c r="A212" s="24">
        <v>45867</v>
      </c>
      <c r="B212" s="25">
        <v>25012.66</v>
      </c>
      <c r="C212" s="26">
        <v>13.14</v>
      </c>
      <c r="D212" s="27">
        <v>1861</v>
      </c>
      <c r="E212" s="27">
        <v>-353</v>
      </c>
      <c r="F212" s="28">
        <v>0.65880000000000005</v>
      </c>
      <c r="G212" s="29" t="s">
        <v>218</v>
      </c>
      <c r="H212" s="30">
        <v>1</v>
      </c>
    </row>
    <row r="213" spans="1:8" x14ac:dyDescent="0.3">
      <c r="A213" s="31">
        <v>45868</v>
      </c>
      <c r="B213" s="32">
        <v>25141.87</v>
      </c>
      <c r="C213" s="33">
        <v>12.09</v>
      </c>
      <c r="D213" s="34">
        <v>1503</v>
      </c>
      <c r="E213" s="34">
        <v>-252</v>
      </c>
      <c r="F213" s="35">
        <v>1.0213000000000001</v>
      </c>
      <c r="G213" s="36" t="s">
        <v>219</v>
      </c>
      <c r="H213" s="40">
        <v>-1</v>
      </c>
    </row>
    <row r="214" spans="1:8" x14ac:dyDescent="0.3">
      <c r="A214" s="24">
        <v>45869</v>
      </c>
      <c r="B214" s="25">
        <v>25393.34</v>
      </c>
      <c r="C214" s="26">
        <v>14.92</v>
      </c>
      <c r="D214" s="27">
        <v>1063</v>
      </c>
      <c r="E214" s="27">
        <v>43</v>
      </c>
      <c r="F214" s="28">
        <v>0.70450000000000002</v>
      </c>
      <c r="G214" s="29" t="s">
        <v>220</v>
      </c>
      <c r="H214" s="39">
        <v>0</v>
      </c>
    </row>
    <row r="215" spans="1:8" x14ac:dyDescent="0.3">
      <c r="A215" s="31">
        <v>45870</v>
      </c>
      <c r="B215" s="32">
        <v>25607.77</v>
      </c>
      <c r="C215" s="33">
        <v>15.21</v>
      </c>
      <c r="D215" s="34">
        <v>733</v>
      </c>
      <c r="E215" s="34">
        <v>535</v>
      </c>
      <c r="F215" s="35">
        <v>0.77500000000000002</v>
      </c>
      <c r="G215" s="36" t="s">
        <v>221</v>
      </c>
      <c r="H215" s="37">
        <v>1</v>
      </c>
    </row>
    <row r="216" spans="1:8" x14ac:dyDescent="0.3">
      <c r="A216" s="24">
        <v>45871</v>
      </c>
      <c r="B216" s="25">
        <v>25757.68</v>
      </c>
      <c r="C216" s="26">
        <v>14.59</v>
      </c>
      <c r="D216" s="27">
        <v>222</v>
      </c>
      <c r="E216" s="27">
        <v>198</v>
      </c>
      <c r="F216" s="28">
        <v>0.76259999999999994</v>
      </c>
      <c r="G216" s="29" t="s">
        <v>222</v>
      </c>
      <c r="H216" s="39">
        <v>0</v>
      </c>
    </row>
    <row r="217" spans="1:8" x14ac:dyDescent="0.3">
      <c r="A217" s="31">
        <v>45872</v>
      </c>
      <c r="B217" s="32">
        <v>25696.46</v>
      </c>
      <c r="C217" s="33">
        <v>15.12</v>
      </c>
      <c r="D217" s="34">
        <v>16</v>
      </c>
      <c r="E217" s="34">
        <v>547</v>
      </c>
      <c r="F217" s="35">
        <v>0.96419999999999995</v>
      </c>
      <c r="G217" s="36" t="s">
        <v>223</v>
      </c>
      <c r="H217" s="40">
        <v>-1</v>
      </c>
    </row>
    <row r="218" spans="1:8" x14ac:dyDescent="0.3">
      <c r="A218" s="24">
        <v>45873</v>
      </c>
      <c r="B218" s="25">
        <v>25870.53</v>
      </c>
      <c r="C218" s="26">
        <v>15.22</v>
      </c>
      <c r="D218" s="27">
        <v>613</v>
      </c>
      <c r="E218" s="27">
        <v>-121</v>
      </c>
      <c r="F218" s="28">
        <v>0.82289999999999996</v>
      </c>
      <c r="G218" s="29" t="s">
        <v>224</v>
      </c>
      <c r="H218" s="30">
        <v>1</v>
      </c>
    </row>
    <row r="219" spans="1:8" x14ac:dyDescent="0.3">
      <c r="A219" s="31">
        <v>45874</v>
      </c>
      <c r="B219" s="32">
        <v>25708.85</v>
      </c>
      <c r="C219" s="33">
        <v>15.18</v>
      </c>
      <c r="D219" s="34">
        <v>72</v>
      </c>
      <c r="E219" s="34">
        <v>888</v>
      </c>
      <c r="F219" s="35">
        <v>1.0074000000000001</v>
      </c>
      <c r="G219" s="36" t="s">
        <v>225</v>
      </c>
      <c r="H219" s="37">
        <v>1</v>
      </c>
    </row>
    <row r="220" spans="1:8" x14ac:dyDescent="0.3">
      <c r="A220" s="24">
        <v>45875</v>
      </c>
      <c r="B220" s="25">
        <v>25664.85</v>
      </c>
      <c r="C220" s="26">
        <v>16.14</v>
      </c>
      <c r="D220" s="27">
        <v>-93</v>
      </c>
      <c r="E220" s="27">
        <v>-96</v>
      </c>
      <c r="F220" s="28">
        <v>0.7913</v>
      </c>
      <c r="G220" s="29" t="s">
        <v>226</v>
      </c>
      <c r="H220" s="30">
        <v>1</v>
      </c>
    </row>
    <row r="221" spans="1:8" x14ac:dyDescent="0.3">
      <c r="A221" s="31">
        <v>45876</v>
      </c>
      <c r="B221" s="32">
        <v>25566.85</v>
      </c>
      <c r="C221" s="33">
        <v>17.2</v>
      </c>
      <c r="D221" s="34">
        <v>-270</v>
      </c>
      <c r="E221" s="34">
        <v>1222</v>
      </c>
      <c r="F221" s="35">
        <v>0.92149999999999999</v>
      </c>
      <c r="G221" s="36" t="s">
        <v>227</v>
      </c>
      <c r="H221" s="37">
        <v>1</v>
      </c>
    </row>
    <row r="222" spans="1:8" x14ac:dyDescent="0.3">
      <c r="A222" s="24">
        <v>45877</v>
      </c>
      <c r="B222" s="25">
        <v>25592.33</v>
      </c>
      <c r="C222" s="26">
        <v>16.63</v>
      </c>
      <c r="D222" s="27">
        <v>-124</v>
      </c>
      <c r="E222" s="27">
        <v>236</v>
      </c>
      <c r="F222" s="28">
        <v>0.7792</v>
      </c>
      <c r="G222" s="29" t="s">
        <v>228</v>
      </c>
      <c r="H222" s="30">
        <v>1</v>
      </c>
    </row>
    <row r="223" spans="1:8" x14ac:dyDescent="0.3">
      <c r="A223" s="31">
        <v>45878</v>
      </c>
      <c r="B223" s="32">
        <v>26108.67</v>
      </c>
      <c r="C223" s="33">
        <v>16.05</v>
      </c>
      <c r="D223" s="34">
        <v>1846</v>
      </c>
      <c r="E223" s="34">
        <v>-1346</v>
      </c>
      <c r="F223" s="35">
        <v>1.1282000000000001</v>
      </c>
      <c r="G223" s="36" t="s">
        <v>229</v>
      </c>
      <c r="H223" s="40">
        <v>-1</v>
      </c>
    </row>
    <row r="224" spans="1:8" x14ac:dyDescent="0.3">
      <c r="A224" s="24">
        <v>45879</v>
      </c>
      <c r="B224" s="25">
        <v>25705.26</v>
      </c>
      <c r="C224" s="26">
        <v>15.88</v>
      </c>
      <c r="D224" s="27">
        <v>-1281</v>
      </c>
      <c r="E224" s="27">
        <v>841</v>
      </c>
      <c r="F224" s="28">
        <v>0.72570000000000001</v>
      </c>
      <c r="G224" s="29" t="s">
        <v>230</v>
      </c>
      <c r="H224" s="30">
        <v>1</v>
      </c>
    </row>
    <row r="225" spans="1:8" x14ac:dyDescent="0.3">
      <c r="A225" s="31">
        <v>45880</v>
      </c>
      <c r="B225" s="32">
        <v>25863.4</v>
      </c>
      <c r="C225" s="33">
        <v>13.29</v>
      </c>
      <c r="D225" s="34">
        <v>-449</v>
      </c>
      <c r="E225" s="34">
        <v>62</v>
      </c>
      <c r="F225" s="35">
        <v>0.86650000000000005</v>
      </c>
      <c r="G225" s="36" t="s">
        <v>231</v>
      </c>
      <c r="H225" s="37">
        <v>1</v>
      </c>
    </row>
    <row r="226" spans="1:8" x14ac:dyDescent="0.3">
      <c r="A226" s="24">
        <v>45881</v>
      </c>
      <c r="B226" s="25">
        <v>25518.94</v>
      </c>
      <c r="C226" s="26">
        <v>11.85</v>
      </c>
      <c r="D226" s="27">
        <v>-2071</v>
      </c>
      <c r="E226" s="27">
        <v>1552</v>
      </c>
      <c r="F226" s="28">
        <v>0.88380000000000003</v>
      </c>
      <c r="G226" s="29" t="s">
        <v>232</v>
      </c>
      <c r="H226" s="30">
        <v>1</v>
      </c>
    </row>
    <row r="227" spans="1:8" x14ac:dyDescent="0.3">
      <c r="A227" s="31">
        <v>45882</v>
      </c>
      <c r="B227" s="32">
        <v>25424.400000000001</v>
      </c>
      <c r="C227" s="33">
        <v>13.98</v>
      </c>
      <c r="D227" s="34">
        <v>97</v>
      </c>
      <c r="E227" s="34">
        <v>-170</v>
      </c>
      <c r="F227" s="35">
        <v>0.88939999999999997</v>
      </c>
      <c r="G227" s="36" t="s">
        <v>233</v>
      </c>
      <c r="H227" s="37">
        <v>1</v>
      </c>
    </row>
    <row r="228" spans="1:8" x14ac:dyDescent="0.3">
      <c r="A228" s="24">
        <v>45883</v>
      </c>
      <c r="B228" s="25">
        <v>25668.52</v>
      </c>
      <c r="C228" s="26">
        <v>16.28</v>
      </c>
      <c r="D228" s="27">
        <v>1002</v>
      </c>
      <c r="E228" s="27">
        <v>-474</v>
      </c>
      <c r="F228" s="28">
        <v>0.85199999999999998</v>
      </c>
      <c r="G228" s="29" t="s">
        <v>234</v>
      </c>
      <c r="H228" s="39">
        <v>0</v>
      </c>
    </row>
    <row r="229" spans="1:8" x14ac:dyDescent="0.3">
      <c r="A229" s="31">
        <v>45884</v>
      </c>
      <c r="B229" s="32">
        <v>25690.25</v>
      </c>
      <c r="C229" s="33">
        <v>16.12</v>
      </c>
      <c r="D229" s="34">
        <v>-31</v>
      </c>
      <c r="E229" s="34">
        <v>-731</v>
      </c>
      <c r="F229" s="35">
        <v>0.85619999999999996</v>
      </c>
      <c r="G229" s="36" t="s">
        <v>235</v>
      </c>
      <c r="H229" s="38">
        <v>0</v>
      </c>
    </row>
    <row r="230" spans="1:8" x14ac:dyDescent="0.3">
      <c r="A230" s="24">
        <v>45885</v>
      </c>
      <c r="B230" s="25">
        <v>25463.62</v>
      </c>
      <c r="C230" s="26">
        <v>16.96</v>
      </c>
      <c r="D230" s="27">
        <v>-823</v>
      </c>
      <c r="E230" s="27">
        <v>344</v>
      </c>
      <c r="F230" s="28">
        <v>0.88970000000000005</v>
      </c>
      <c r="G230" s="29" t="s">
        <v>236</v>
      </c>
      <c r="H230" s="30">
        <v>1</v>
      </c>
    </row>
    <row r="231" spans="1:8" x14ac:dyDescent="0.3">
      <c r="A231" s="31">
        <v>45886</v>
      </c>
      <c r="B231" s="32">
        <v>25316.86</v>
      </c>
      <c r="C231" s="33">
        <v>17.420000000000002</v>
      </c>
      <c r="D231" s="34">
        <v>-335</v>
      </c>
      <c r="E231" s="34">
        <v>-861</v>
      </c>
      <c r="F231" s="35">
        <v>0.87370000000000003</v>
      </c>
      <c r="G231" s="36" t="s">
        <v>237</v>
      </c>
      <c r="H231" s="38">
        <v>0</v>
      </c>
    </row>
    <row r="232" spans="1:8" x14ac:dyDescent="0.3">
      <c r="A232" s="24">
        <v>45887</v>
      </c>
      <c r="B232" s="25">
        <v>25471.17</v>
      </c>
      <c r="C232" s="26">
        <v>21.16</v>
      </c>
      <c r="D232" s="27">
        <v>248</v>
      </c>
      <c r="E232" s="27">
        <v>-704</v>
      </c>
      <c r="F232" s="28">
        <v>1.0630999999999999</v>
      </c>
      <c r="G232" s="29" t="s">
        <v>238</v>
      </c>
      <c r="H232" s="30">
        <v>1</v>
      </c>
    </row>
    <row r="233" spans="1:8" x14ac:dyDescent="0.3">
      <c r="A233" s="31">
        <v>45888</v>
      </c>
      <c r="B233" s="32">
        <v>25321.13</v>
      </c>
      <c r="C233" s="33">
        <v>22.25</v>
      </c>
      <c r="D233" s="34">
        <v>-1023</v>
      </c>
      <c r="E233" s="34">
        <v>1041</v>
      </c>
      <c r="F233" s="35">
        <v>1.2290000000000001</v>
      </c>
      <c r="G233" s="36" t="s">
        <v>239</v>
      </c>
      <c r="H233" s="40">
        <v>-1</v>
      </c>
    </row>
    <row r="234" spans="1:8" x14ac:dyDescent="0.3">
      <c r="A234" s="24">
        <v>45889</v>
      </c>
      <c r="B234" s="25">
        <v>25375.37</v>
      </c>
      <c r="C234" s="26">
        <v>21.76</v>
      </c>
      <c r="D234" s="27">
        <v>319</v>
      </c>
      <c r="E234" s="27">
        <v>449</v>
      </c>
      <c r="F234" s="28">
        <v>0.88949999999999996</v>
      </c>
      <c r="G234" s="29" t="s">
        <v>240</v>
      </c>
      <c r="H234" s="39">
        <v>0</v>
      </c>
    </row>
    <row r="235" spans="1:8" x14ac:dyDescent="0.3">
      <c r="A235" s="31">
        <v>45890</v>
      </c>
      <c r="B235" s="32">
        <v>25392.82</v>
      </c>
      <c r="C235" s="33">
        <v>20.309999999999999</v>
      </c>
      <c r="D235" s="34">
        <v>-522</v>
      </c>
      <c r="E235" s="34">
        <v>648</v>
      </c>
      <c r="F235" s="35">
        <v>0.77029999999999998</v>
      </c>
      <c r="G235" s="36" t="s">
        <v>241</v>
      </c>
      <c r="H235" s="37">
        <v>1</v>
      </c>
    </row>
    <row r="236" spans="1:8" x14ac:dyDescent="0.3">
      <c r="A236" s="24">
        <v>45891</v>
      </c>
      <c r="B236" s="25">
        <v>25260.14</v>
      </c>
      <c r="C236" s="26">
        <v>18.2</v>
      </c>
      <c r="D236" s="27">
        <v>-248</v>
      </c>
      <c r="E236" s="27">
        <v>-172</v>
      </c>
      <c r="F236" s="28">
        <v>0.89239999999999997</v>
      </c>
      <c r="G236" s="29" t="s">
        <v>242</v>
      </c>
      <c r="H236" s="41">
        <v>-1</v>
      </c>
    </row>
    <row r="237" spans="1:8" x14ac:dyDescent="0.3">
      <c r="A237" s="31">
        <v>45892</v>
      </c>
      <c r="B237" s="32">
        <v>25732.41</v>
      </c>
      <c r="C237" s="33">
        <v>18.43</v>
      </c>
      <c r="D237" s="34">
        <v>722</v>
      </c>
      <c r="E237" s="34">
        <v>-149</v>
      </c>
      <c r="F237" s="35">
        <v>1.216</v>
      </c>
      <c r="G237" s="36" t="s">
        <v>243</v>
      </c>
      <c r="H237" s="40">
        <v>-1</v>
      </c>
    </row>
    <row r="238" spans="1:8" x14ac:dyDescent="0.3">
      <c r="A238" s="24">
        <v>45893</v>
      </c>
      <c r="B238" s="25">
        <v>25879.200000000001</v>
      </c>
      <c r="C238" s="26">
        <v>17.489999999999998</v>
      </c>
      <c r="D238" s="27">
        <v>1153</v>
      </c>
      <c r="E238" s="27">
        <v>-321</v>
      </c>
      <c r="F238" s="28">
        <v>0.79590000000000005</v>
      </c>
      <c r="G238" s="29" t="s">
        <v>244</v>
      </c>
      <c r="H238" s="39">
        <v>0</v>
      </c>
    </row>
    <row r="239" spans="1:8" x14ac:dyDescent="0.3">
      <c r="A239" s="31">
        <v>45894</v>
      </c>
      <c r="B239" s="32">
        <v>25445.17</v>
      </c>
      <c r="C239" s="33">
        <v>15.82</v>
      </c>
      <c r="D239" s="34">
        <v>-1308</v>
      </c>
      <c r="E239" s="34">
        <v>209</v>
      </c>
      <c r="F239" s="35">
        <v>1.0640000000000001</v>
      </c>
      <c r="G239" s="36" t="s">
        <v>245</v>
      </c>
      <c r="H239" s="37">
        <v>1</v>
      </c>
    </row>
    <row r="240" spans="1:8" x14ac:dyDescent="0.3">
      <c r="A240" s="24">
        <v>45895</v>
      </c>
      <c r="B240" s="25">
        <v>25493.18</v>
      </c>
      <c r="C240" s="26">
        <v>15.22</v>
      </c>
      <c r="D240" s="27">
        <v>331</v>
      </c>
      <c r="E240" s="27">
        <v>803</v>
      </c>
      <c r="F240" s="28">
        <v>1.0596000000000001</v>
      </c>
      <c r="G240" s="29" t="s">
        <v>246</v>
      </c>
      <c r="H240" s="30">
        <v>1</v>
      </c>
    </row>
    <row r="241" spans="1:8" x14ac:dyDescent="0.3">
      <c r="A241" s="31">
        <v>45896</v>
      </c>
      <c r="B241" s="32">
        <v>25357.78</v>
      </c>
      <c r="C241" s="33">
        <v>14.14</v>
      </c>
      <c r="D241" s="34">
        <v>88</v>
      </c>
      <c r="E241" s="34">
        <v>599</v>
      </c>
      <c r="F241" s="35">
        <v>0.77569999999999995</v>
      </c>
      <c r="G241" s="36" t="s">
        <v>247</v>
      </c>
      <c r="H241" s="38">
        <v>0</v>
      </c>
    </row>
    <row r="242" spans="1:8" x14ac:dyDescent="0.3">
      <c r="A242" s="24">
        <v>45897</v>
      </c>
      <c r="B242" s="25">
        <v>25549.85</v>
      </c>
      <c r="C242" s="26">
        <v>16.47</v>
      </c>
      <c r="D242" s="27">
        <v>1709</v>
      </c>
      <c r="E242" s="27">
        <v>-680</v>
      </c>
      <c r="F242" s="28">
        <v>0.94530000000000003</v>
      </c>
      <c r="G242" s="29" t="s">
        <v>248</v>
      </c>
      <c r="H242" s="39">
        <v>0</v>
      </c>
    </row>
    <row r="243" spans="1:8" x14ac:dyDescent="0.3">
      <c r="A243" s="31">
        <v>45898</v>
      </c>
      <c r="B243" s="32">
        <v>25385.93</v>
      </c>
      <c r="C243" s="33">
        <v>17.649999999999999</v>
      </c>
      <c r="D243" s="34">
        <v>3</v>
      </c>
      <c r="E243" s="34">
        <v>212</v>
      </c>
      <c r="F243" s="35">
        <v>1.0902000000000001</v>
      </c>
      <c r="G243" s="36" t="s">
        <v>249</v>
      </c>
      <c r="H243" s="38">
        <v>0</v>
      </c>
    </row>
    <row r="244" spans="1:8" x14ac:dyDescent="0.3">
      <c r="A244" s="24">
        <v>45899</v>
      </c>
      <c r="B244" s="25">
        <v>25368.79</v>
      </c>
      <c r="C244" s="26">
        <v>17.670000000000002</v>
      </c>
      <c r="D244" s="27">
        <v>-1168</v>
      </c>
      <c r="E244" s="27">
        <v>830</v>
      </c>
      <c r="F244" s="28">
        <v>0.84960000000000002</v>
      </c>
      <c r="G244" s="29" t="s">
        <v>250</v>
      </c>
      <c r="H244" s="41">
        <v>-1</v>
      </c>
    </row>
    <row r="245" spans="1:8" x14ac:dyDescent="0.3">
      <c r="A245" s="31">
        <v>45900</v>
      </c>
      <c r="B245" s="32">
        <v>25485.56</v>
      </c>
      <c r="C245" s="33">
        <v>19.47</v>
      </c>
      <c r="D245" s="34">
        <v>-336</v>
      </c>
      <c r="E245" s="34">
        <v>-670</v>
      </c>
      <c r="F245" s="35">
        <v>0.89759999999999995</v>
      </c>
      <c r="G245" s="36" t="s">
        <v>251</v>
      </c>
      <c r="H245" s="37">
        <v>1</v>
      </c>
    </row>
    <row r="246" spans="1:8" x14ac:dyDescent="0.3">
      <c r="A246" s="24">
        <v>45901</v>
      </c>
      <c r="B246" s="25">
        <v>25681.5</v>
      </c>
      <c r="C246" s="26">
        <v>19.45</v>
      </c>
      <c r="D246" s="27">
        <v>346</v>
      </c>
      <c r="E246" s="27">
        <v>-79</v>
      </c>
      <c r="F246" s="28">
        <v>0.85189999999999999</v>
      </c>
      <c r="G246" s="29" t="s">
        <v>252</v>
      </c>
      <c r="H246" s="30">
        <v>1</v>
      </c>
    </row>
    <row r="247" spans="1:8" x14ac:dyDescent="0.3">
      <c r="A247" s="31">
        <v>45902</v>
      </c>
      <c r="B247" s="32">
        <v>25428.44</v>
      </c>
      <c r="C247" s="33">
        <v>18.3</v>
      </c>
      <c r="D247" s="34">
        <v>-916</v>
      </c>
      <c r="E247" s="34">
        <v>271</v>
      </c>
      <c r="F247" s="35">
        <v>0.78269999999999995</v>
      </c>
      <c r="G247" s="36" t="s">
        <v>253</v>
      </c>
      <c r="H247" s="40">
        <v>-1</v>
      </c>
    </row>
    <row r="248" spans="1:8" x14ac:dyDescent="0.3">
      <c r="A248" s="24">
        <v>45903</v>
      </c>
      <c r="B248" s="25">
        <v>25363.85</v>
      </c>
      <c r="C248" s="26">
        <v>20.100000000000001</v>
      </c>
      <c r="D248" s="27">
        <v>71</v>
      </c>
      <c r="E248" s="27">
        <v>-333</v>
      </c>
      <c r="F248" s="28">
        <v>0.85360000000000003</v>
      </c>
      <c r="G248" s="29" t="s">
        <v>254</v>
      </c>
      <c r="H248" s="39">
        <v>0</v>
      </c>
    </row>
    <row r="249" spans="1:8" x14ac:dyDescent="0.3">
      <c r="A249" s="31">
        <v>45904</v>
      </c>
      <c r="B249" s="32">
        <v>25269.24</v>
      </c>
      <c r="C249" s="33">
        <v>20.58</v>
      </c>
      <c r="D249" s="34">
        <v>-787</v>
      </c>
      <c r="E249" s="34">
        <v>414</v>
      </c>
      <c r="F249" s="35">
        <v>0.79179999999999995</v>
      </c>
      <c r="G249" s="36" t="s">
        <v>255</v>
      </c>
      <c r="H249" s="38">
        <v>0</v>
      </c>
    </row>
    <row r="250" spans="1:8" x14ac:dyDescent="0.3">
      <c r="A250" s="24">
        <v>45905</v>
      </c>
      <c r="B250" s="25">
        <v>25136.84</v>
      </c>
      <c r="C250" s="26">
        <v>19.13</v>
      </c>
      <c r="D250" s="27">
        <v>-382</v>
      </c>
      <c r="E250" s="27">
        <v>1271</v>
      </c>
      <c r="F250" s="28">
        <v>0.92100000000000004</v>
      </c>
      <c r="G250" s="29" t="s">
        <v>256</v>
      </c>
      <c r="H250" s="30">
        <v>1</v>
      </c>
    </row>
    <row r="251" spans="1:8" x14ac:dyDescent="0.3">
      <c r="A251" s="31">
        <v>45906</v>
      </c>
      <c r="B251" s="32">
        <v>25524.55</v>
      </c>
      <c r="C251" s="33">
        <v>18.809999999999999</v>
      </c>
      <c r="D251" s="34">
        <v>987</v>
      </c>
      <c r="E251" s="34">
        <v>76</v>
      </c>
      <c r="F251" s="35">
        <v>0.81979999999999997</v>
      </c>
      <c r="G251" s="36" t="s">
        <v>257</v>
      </c>
      <c r="H251" s="37">
        <v>1</v>
      </c>
    </row>
    <row r="252" spans="1:8" x14ac:dyDescent="0.3">
      <c r="A252" s="24">
        <v>45907</v>
      </c>
      <c r="B252" s="25">
        <v>25620.25</v>
      </c>
      <c r="C252" s="26">
        <v>17.690000000000001</v>
      </c>
      <c r="D252" s="27">
        <v>-15</v>
      </c>
      <c r="E252" s="27">
        <v>-79</v>
      </c>
      <c r="F252" s="28">
        <v>0.9234</v>
      </c>
      <c r="G252" s="29" t="s">
        <v>258</v>
      </c>
      <c r="H252" s="39">
        <v>0</v>
      </c>
    </row>
  </sheetData>
  <mergeCells count="1">
    <mergeCell ref="A1:H1"/>
  </mergeCells>
  <dataValidations count="1">
    <dataValidation type="whole" showErrorMessage="1" errorTitle="Invalid Value" error="BERT_Sentiment must be -1, 0, or 1." sqref="H3:H252" xr:uid="{00000000-0002-0000-0000-000000000000}">
      <formula1>-1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BC9C"/>
  </sheetPr>
  <dimension ref="A1:G252"/>
  <sheetViews>
    <sheetView showGridLines="0" workbookViewId="0">
      <pane ySplit="2" topLeftCell="A36" activePane="bottomLeft" state="frozen"/>
      <selection pane="bottomLeft" activeCell="I43" sqref="I43"/>
    </sheetView>
  </sheetViews>
  <sheetFormatPr defaultRowHeight="14.4" x14ac:dyDescent="0.3"/>
  <cols>
    <col min="1" max="3" width="14" customWidth="1"/>
    <col min="4" max="5" width="18" customWidth="1"/>
    <col min="6" max="6" width="13" customWidth="1"/>
    <col min="7" max="7" width="16" customWidth="1"/>
  </cols>
  <sheetData>
    <row r="1" spans="1:7" ht="28.05" customHeight="1" x14ac:dyDescent="0.3">
      <c r="A1" s="42" t="s">
        <v>259</v>
      </c>
      <c r="B1" s="15"/>
      <c r="C1" s="15"/>
      <c r="D1" s="15"/>
      <c r="E1" s="15"/>
      <c r="F1" s="15"/>
      <c r="G1" s="15"/>
    </row>
    <row r="2" spans="1:7" ht="19.95" customHeight="1" x14ac:dyDescent="0.3">
      <c r="A2" s="43" t="s">
        <v>1</v>
      </c>
      <c r="B2" s="43" t="s">
        <v>2</v>
      </c>
      <c r="C2" s="43" t="s">
        <v>260</v>
      </c>
      <c r="D2" s="43" t="s">
        <v>261</v>
      </c>
      <c r="E2" s="43" t="s">
        <v>262</v>
      </c>
      <c r="F2" s="43" t="s">
        <v>263</v>
      </c>
      <c r="G2" s="43" t="s">
        <v>264</v>
      </c>
    </row>
    <row r="3" spans="1:7" x14ac:dyDescent="0.3">
      <c r="A3" s="44">
        <f>Market_Data_Raw!A3</f>
        <v>45658</v>
      </c>
      <c r="B3" s="45">
        <f>Market_Data_Raw!B3</f>
        <v>24000</v>
      </c>
      <c r="C3" s="46" t="s">
        <v>265</v>
      </c>
      <c r="D3" s="47" t="str">
        <f>IF(Market_Data_Raw!C3&gt;20,"High Risk","Stable")</f>
        <v>Stable</v>
      </c>
      <c r="E3" s="48">
        <f>Market_Data_Raw!D3+Market_Data_Raw!E3</f>
        <v>-726</v>
      </c>
      <c r="F3" s="49">
        <f>IF(Market_Data_Raw!F3&lt;0.8,-1,IF(Market_Data_Raw!F3&gt;1,1,0))</f>
        <v>0</v>
      </c>
      <c r="G3" s="49">
        <f>IF(Market_Data_Raw!B4&gt;Market_Data_Raw!B3,1,-1)</f>
        <v>-1</v>
      </c>
    </row>
    <row r="4" spans="1:7" x14ac:dyDescent="0.3">
      <c r="A4" s="50">
        <f>Market_Data_Raw!A4</f>
        <v>45659</v>
      </c>
      <c r="B4" s="51">
        <f>Market_Data_Raw!B4</f>
        <v>23979</v>
      </c>
      <c r="C4" s="52">
        <f>LN(Market_Data_Raw!B4/Market_Data_Raw!B3)</f>
        <v>-8.753830359538988E-4</v>
      </c>
      <c r="D4" s="53" t="str">
        <f>IF(Market_Data_Raw!C4&gt;20,"High Risk","Stable")</f>
        <v>Stable</v>
      </c>
      <c r="E4" s="54">
        <f>Market_Data_Raw!D4+Market_Data_Raw!E4</f>
        <v>-1</v>
      </c>
      <c r="F4" s="55">
        <f>IF(Market_Data_Raw!F4&lt;0.8,-1,IF(Market_Data_Raw!F4&gt;1,1,0))</f>
        <v>1</v>
      </c>
      <c r="G4" s="55">
        <f>IF(Market_Data_Raw!B5&gt;Market_Data_Raw!B4,1,-1)</f>
        <v>1</v>
      </c>
    </row>
    <row r="5" spans="1:7" x14ac:dyDescent="0.3">
      <c r="A5" s="44">
        <f>Market_Data_Raw!A5</f>
        <v>45660</v>
      </c>
      <c r="B5" s="45">
        <f>Market_Data_Raw!B5</f>
        <v>24118.61</v>
      </c>
      <c r="C5" s="46">
        <f>LN(Market_Data_Raw!B5/Market_Data_Raw!B4)</f>
        <v>5.8052943623595173E-3</v>
      </c>
      <c r="D5" s="47" t="str">
        <f>IF(Market_Data_Raw!C5&gt;20,"High Risk","Stable")</f>
        <v>Stable</v>
      </c>
      <c r="E5" s="48">
        <f>Market_Data_Raw!D5+Market_Data_Raw!E5</f>
        <v>455</v>
      </c>
      <c r="F5" s="49">
        <f>IF(Market_Data_Raw!F5&lt;0.8,-1,IF(Market_Data_Raw!F5&gt;1,1,0))</f>
        <v>1</v>
      </c>
      <c r="G5" s="49">
        <f>IF(Market_Data_Raw!B6&gt;Market_Data_Raw!B5,1,-1)</f>
        <v>1</v>
      </c>
    </row>
    <row r="6" spans="1:7" x14ac:dyDescent="0.3">
      <c r="A6" s="50">
        <f>Market_Data_Raw!A6</f>
        <v>45661</v>
      </c>
      <c r="B6" s="51">
        <f>Market_Data_Raw!B6</f>
        <v>24440.2</v>
      </c>
      <c r="C6" s="52">
        <f>LN(Market_Data_Raw!B6/Market_Data_Raw!B5)</f>
        <v>1.3245575901616041E-2</v>
      </c>
      <c r="D6" s="53" t="str">
        <f>IF(Market_Data_Raw!C6&gt;20,"High Risk","Stable")</f>
        <v>High Risk</v>
      </c>
      <c r="E6" s="54">
        <f>Market_Data_Raw!D6+Market_Data_Raw!E6</f>
        <v>-64</v>
      </c>
      <c r="F6" s="55">
        <f>IF(Market_Data_Raw!F6&lt;0.8,-1,IF(Market_Data_Raw!F6&gt;1,1,0))</f>
        <v>0</v>
      </c>
      <c r="G6" s="55">
        <f>IF(Market_Data_Raw!B7&gt;Market_Data_Raw!B6,1,-1)</f>
        <v>-1</v>
      </c>
    </row>
    <row r="7" spans="1:7" x14ac:dyDescent="0.3">
      <c r="A7" s="44">
        <f>Market_Data_Raw!A7</f>
        <v>45662</v>
      </c>
      <c r="B7" s="45">
        <f>Market_Data_Raw!B7</f>
        <v>24398.92</v>
      </c>
      <c r="C7" s="46">
        <f>LN(Market_Data_Raw!B7/Market_Data_Raw!B6)</f>
        <v>-1.6904485514973575E-3</v>
      </c>
      <c r="D7" s="47" t="str">
        <f>IF(Market_Data_Raw!C7&gt;20,"High Risk","Stable")</f>
        <v>High Risk</v>
      </c>
      <c r="E7" s="48">
        <f>Market_Data_Raw!D7+Market_Data_Raw!E7</f>
        <v>825</v>
      </c>
      <c r="F7" s="49">
        <f>IF(Market_Data_Raw!F7&lt;0.8,-1,IF(Market_Data_Raw!F7&gt;1,1,0))</f>
        <v>0</v>
      </c>
      <c r="G7" s="49">
        <f>IF(Market_Data_Raw!B8&gt;Market_Data_Raw!B7,1,-1)</f>
        <v>-1</v>
      </c>
    </row>
    <row r="8" spans="1:7" x14ac:dyDescent="0.3">
      <c r="A8" s="50">
        <f>Market_Data_Raw!A8</f>
        <v>45663</v>
      </c>
      <c r="B8" s="51">
        <f>Market_Data_Raw!B8</f>
        <v>24357.72</v>
      </c>
      <c r="C8" s="52">
        <f>LN(Market_Data_Raw!B8/Market_Data_Raw!B7)</f>
        <v>-1.6900266222713192E-3</v>
      </c>
      <c r="D8" s="53" t="str">
        <f>IF(Market_Data_Raw!C8&gt;20,"High Risk","Stable")</f>
        <v>Stable</v>
      </c>
      <c r="E8" s="54">
        <f>Market_Data_Raw!D8+Market_Data_Raw!E8</f>
        <v>-577</v>
      </c>
      <c r="F8" s="55">
        <f>IF(Market_Data_Raw!F8&lt;0.8,-1,IF(Market_Data_Raw!F8&gt;1,1,0))</f>
        <v>1</v>
      </c>
      <c r="G8" s="55">
        <f>IF(Market_Data_Raw!B9&gt;Market_Data_Raw!B8,1,-1)</f>
        <v>1</v>
      </c>
    </row>
    <row r="9" spans="1:7" x14ac:dyDescent="0.3">
      <c r="A9" s="44">
        <f>Market_Data_Raw!A9</f>
        <v>45664</v>
      </c>
      <c r="B9" s="45">
        <f>Market_Data_Raw!B9</f>
        <v>24694.29</v>
      </c>
      <c r="C9" s="46">
        <f>LN(Market_Data_Raw!B9/Market_Data_Raw!B8)</f>
        <v>1.3723200417815658E-2</v>
      </c>
      <c r="D9" s="47" t="str">
        <f>IF(Market_Data_Raw!C9&gt;20,"High Risk","Stable")</f>
        <v>Stable</v>
      </c>
      <c r="E9" s="48">
        <f>Market_Data_Raw!D9+Market_Data_Raw!E9</f>
        <v>2066</v>
      </c>
      <c r="F9" s="49">
        <f>IF(Market_Data_Raw!F9&lt;0.8,-1,IF(Market_Data_Raw!F9&gt;1,1,0))</f>
        <v>0</v>
      </c>
      <c r="G9" s="49">
        <f>IF(Market_Data_Raw!B10&gt;Market_Data_Raw!B9,1,-1)</f>
        <v>1</v>
      </c>
    </row>
    <row r="10" spans="1:7" x14ac:dyDescent="0.3">
      <c r="A10" s="50">
        <f>Market_Data_Raw!A10</f>
        <v>45665</v>
      </c>
      <c r="B10" s="51">
        <f>Market_Data_Raw!B10</f>
        <v>24863.360000000001</v>
      </c>
      <c r="C10" s="52">
        <f>LN(Market_Data_Raw!B10/Market_Data_Raw!B9)</f>
        <v>6.8231910082026644E-3</v>
      </c>
      <c r="D10" s="53" t="str">
        <f>IF(Market_Data_Raw!C10&gt;20,"High Risk","Stable")</f>
        <v>High Risk</v>
      </c>
      <c r="E10" s="54">
        <f>Market_Data_Raw!D10+Market_Data_Raw!E10</f>
        <v>605</v>
      </c>
      <c r="F10" s="55">
        <f>IF(Market_Data_Raw!F10&lt;0.8,-1,IF(Market_Data_Raw!F10&gt;1,1,0))</f>
        <v>1</v>
      </c>
      <c r="G10" s="55">
        <f>IF(Market_Data_Raw!B11&gt;Market_Data_Raw!B10,1,-1)</f>
        <v>-1</v>
      </c>
    </row>
    <row r="11" spans="1:7" x14ac:dyDescent="0.3">
      <c r="A11" s="44">
        <f>Market_Data_Raw!A11</f>
        <v>45666</v>
      </c>
      <c r="B11" s="45">
        <f>Market_Data_Raw!B11</f>
        <v>24771.77</v>
      </c>
      <c r="C11" s="46">
        <f>LN(Market_Data_Raw!B11/Market_Data_Raw!B10)</f>
        <v>-3.6905354717525034E-3</v>
      </c>
      <c r="D11" s="47" t="str">
        <f>IF(Market_Data_Raw!C11&gt;20,"High Risk","Stable")</f>
        <v>Stable</v>
      </c>
      <c r="E11" s="48">
        <f>Market_Data_Raw!D11+Market_Data_Raw!E11</f>
        <v>-184</v>
      </c>
      <c r="F11" s="49">
        <f>IF(Market_Data_Raw!F11&lt;0.8,-1,IF(Market_Data_Raw!F11&gt;1,1,0))</f>
        <v>0</v>
      </c>
      <c r="G11" s="49">
        <f>IF(Market_Data_Raw!B12&gt;Market_Data_Raw!B11,1,-1)</f>
        <v>1</v>
      </c>
    </row>
    <row r="12" spans="1:7" x14ac:dyDescent="0.3">
      <c r="A12" s="50">
        <f>Market_Data_Raw!A12</f>
        <v>45667</v>
      </c>
      <c r="B12" s="51">
        <f>Market_Data_Raw!B12</f>
        <v>24893.74</v>
      </c>
      <c r="C12" s="52">
        <f>LN(Market_Data_Raw!B12/Market_Data_Raw!B11)</f>
        <v>4.911667884016634E-3</v>
      </c>
      <c r="D12" s="53" t="str">
        <f>IF(Market_Data_Raw!C12&gt;20,"High Risk","Stable")</f>
        <v>Stable</v>
      </c>
      <c r="E12" s="54">
        <f>Market_Data_Raw!D12+Market_Data_Raw!E12</f>
        <v>41</v>
      </c>
      <c r="F12" s="55">
        <f>IF(Market_Data_Raw!F12&lt;0.8,-1,IF(Market_Data_Raw!F12&gt;1,1,0))</f>
        <v>1</v>
      </c>
      <c r="G12" s="55">
        <f>IF(Market_Data_Raw!B13&gt;Market_Data_Raw!B12,1,-1)</f>
        <v>-1</v>
      </c>
    </row>
    <row r="13" spans="1:7" x14ac:dyDescent="0.3">
      <c r="A13" s="44">
        <f>Market_Data_Raw!A13</f>
        <v>45668</v>
      </c>
      <c r="B13" s="45">
        <f>Market_Data_Raw!B13</f>
        <v>24803.32</v>
      </c>
      <c r="C13" s="46">
        <f>LN(Market_Data_Raw!B13/Market_Data_Raw!B12)</f>
        <v>-3.6388510617208422E-3</v>
      </c>
      <c r="D13" s="47" t="str">
        <f>IF(Market_Data_Raw!C13&gt;20,"High Risk","Stable")</f>
        <v>High Risk</v>
      </c>
      <c r="E13" s="48">
        <f>Market_Data_Raw!D13+Market_Data_Raw!E13</f>
        <v>88</v>
      </c>
      <c r="F13" s="49">
        <f>IF(Market_Data_Raw!F13&lt;0.8,-1,IF(Market_Data_Raw!F13&gt;1,1,0))</f>
        <v>0</v>
      </c>
      <c r="G13" s="49">
        <f>IF(Market_Data_Raw!B14&gt;Market_Data_Raw!B13,1,-1)</f>
        <v>-1</v>
      </c>
    </row>
    <row r="14" spans="1:7" x14ac:dyDescent="0.3">
      <c r="A14" s="50">
        <f>Market_Data_Raw!A14</f>
        <v>45669</v>
      </c>
      <c r="B14" s="51">
        <f>Market_Data_Raw!B14</f>
        <v>24712.74</v>
      </c>
      <c r="C14" s="52">
        <f>LN(Market_Data_Raw!B14/Market_Data_Raw!B13)</f>
        <v>-3.6586150448125799E-3</v>
      </c>
      <c r="D14" s="53" t="str">
        <f>IF(Market_Data_Raw!C14&gt;20,"High Risk","Stable")</f>
        <v>Stable</v>
      </c>
      <c r="E14" s="54">
        <f>Market_Data_Raw!D14+Market_Data_Raw!E14</f>
        <v>-188</v>
      </c>
      <c r="F14" s="55">
        <f>IF(Market_Data_Raw!F14&lt;0.8,-1,IF(Market_Data_Raw!F14&gt;1,1,0))</f>
        <v>1</v>
      </c>
      <c r="G14" s="55">
        <f>IF(Market_Data_Raw!B15&gt;Market_Data_Raw!B14,1,-1)</f>
        <v>1</v>
      </c>
    </row>
    <row r="15" spans="1:7" x14ac:dyDescent="0.3">
      <c r="A15" s="44">
        <f>Market_Data_Raw!A15</f>
        <v>45670</v>
      </c>
      <c r="B15" s="45">
        <f>Market_Data_Raw!B15</f>
        <v>24771.05</v>
      </c>
      <c r="C15" s="46">
        <f>LN(Market_Data_Raw!B15/Market_Data_Raw!B14)</f>
        <v>2.3567324567790493E-3</v>
      </c>
      <c r="D15" s="47" t="str">
        <f>IF(Market_Data_Raw!C15&gt;20,"High Risk","Stable")</f>
        <v>Stable</v>
      </c>
      <c r="E15" s="48">
        <f>Market_Data_Raw!D15+Market_Data_Raw!E15</f>
        <v>367</v>
      </c>
      <c r="F15" s="49">
        <f>IF(Market_Data_Raw!F15&lt;0.8,-1,IF(Market_Data_Raw!F15&gt;1,1,0))</f>
        <v>0</v>
      </c>
      <c r="G15" s="49">
        <f>IF(Market_Data_Raw!B16&gt;Market_Data_Raw!B15,1,-1)</f>
        <v>-1</v>
      </c>
    </row>
    <row r="16" spans="1:7" x14ac:dyDescent="0.3">
      <c r="A16" s="50">
        <f>Market_Data_Raw!A16</f>
        <v>45671</v>
      </c>
      <c r="B16" s="51">
        <f>Market_Data_Raw!B16</f>
        <v>24378.77</v>
      </c>
      <c r="C16" s="52">
        <f>LN(Market_Data_Raw!B16/Market_Data_Raw!B15)</f>
        <v>-1.5962960999804727E-2</v>
      </c>
      <c r="D16" s="53" t="str">
        <f>IF(Market_Data_Raw!C16&gt;20,"High Risk","Stable")</f>
        <v>Stable</v>
      </c>
      <c r="E16" s="54">
        <f>Market_Data_Raw!D16+Market_Data_Raw!E16</f>
        <v>575</v>
      </c>
      <c r="F16" s="55">
        <f>IF(Market_Data_Raw!F16&lt;0.8,-1,IF(Market_Data_Raw!F16&gt;1,1,0))</f>
        <v>1</v>
      </c>
      <c r="G16" s="55">
        <f>IF(Market_Data_Raw!B17&gt;Market_Data_Raw!B16,1,-1)</f>
        <v>-1</v>
      </c>
    </row>
    <row r="17" spans="1:7" x14ac:dyDescent="0.3">
      <c r="A17" s="44">
        <f>Market_Data_Raw!A17</f>
        <v>45672</v>
      </c>
      <c r="B17" s="45">
        <f>Market_Data_Raw!B17</f>
        <v>24031.15</v>
      </c>
      <c r="C17" s="46">
        <f>LN(Market_Data_Raw!B17/Market_Data_Raw!B16)</f>
        <v>-1.436176614203682E-2</v>
      </c>
      <c r="D17" s="47" t="str">
        <f>IF(Market_Data_Raw!C17&gt;20,"High Risk","Stable")</f>
        <v>Stable</v>
      </c>
      <c r="E17" s="48">
        <f>Market_Data_Raw!D17+Market_Data_Raw!E17</f>
        <v>-891</v>
      </c>
      <c r="F17" s="49">
        <f>IF(Market_Data_Raw!F17&lt;0.8,-1,IF(Market_Data_Raw!F17&gt;1,1,0))</f>
        <v>-1</v>
      </c>
      <c r="G17" s="49">
        <f>IF(Market_Data_Raw!B18&gt;Market_Data_Raw!B17,1,-1)</f>
        <v>-1</v>
      </c>
    </row>
    <row r="18" spans="1:7" x14ac:dyDescent="0.3">
      <c r="A18" s="50">
        <f>Market_Data_Raw!A18</f>
        <v>45673</v>
      </c>
      <c r="B18" s="51">
        <f>Market_Data_Raw!B18</f>
        <v>23923.74</v>
      </c>
      <c r="C18" s="52">
        <f>LN(Market_Data_Raw!B18/Market_Data_Raw!B17)</f>
        <v>-4.4796340734969704E-3</v>
      </c>
      <c r="D18" s="53" t="str">
        <f>IF(Market_Data_Raw!C18&gt;20,"High Risk","Stable")</f>
        <v>Stable</v>
      </c>
      <c r="E18" s="54">
        <f>Market_Data_Raw!D18+Market_Data_Raw!E18</f>
        <v>352</v>
      </c>
      <c r="F18" s="55">
        <f>IF(Market_Data_Raw!F18&lt;0.8,-1,IF(Market_Data_Raw!F18&gt;1,1,0))</f>
        <v>1</v>
      </c>
      <c r="G18" s="55">
        <f>IF(Market_Data_Raw!B19&gt;Market_Data_Raw!B18,1,-1)</f>
        <v>-1</v>
      </c>
    </row>
    <row r="19" spans="1:7" x14ac:dyDescent="0.3">
      <c r="A19" s="44">
        <f>Market_Data_Raw!A19</f>
        <v>45674</v>
      </c>
      <c r="B19" s="45">
        <f>Market_Data_Raw!B19</f>
        <v>23725.78</v>
      </c>
      <c r="C19" s="46">
        <f>LN(Market_Data_Raw!B19/Market_Data_Raw!B18)</f>
        <v>-8.3090507074949395E-3</v>
      </c>
      <c r="D19" s="47" t="str">
        <f>IF(Market_Data_Raw!C19&gt;20,"High Risk","Stable")</f>
        <v>Stable</v>
      </c>
      <c r="E19" s="48">
        <f>Market_Data_Raw!D19+Market_Data_Raw!E19</f>
        <v>-333</v>
      </c>
      <c r="F19" s="49">
        <f>IF(Market_Data_Raw!F19&lt;0.8,-1,IF(Market_Data_Raw!F19&gt;1,1,0))</f>
        <v>0</v>
      </c>
      <c r="G19" s="49">
        <f>IF(Market_Data_Raw!B20&gt;Market_Data_Raw!B19,1,-1)</f>
        <v>1</v>
      </c>
    </row>
    <row r="20" spans="1:7" x14ac:dyDescent="0.3">
      <c r="A20" s="50">
        <f>Market_Data_Raw!A20</f>
        <v>45675</v>
      </c>
      <c r="B20" s="51">
        <f>Market_Data_Raw!B20</f>
        <v>23796.38</v>
      </c>
      <c r="C20" s="52">
        <f>LN(Market_Data_Raw!B20/Market_Data_Raw!B19)</f>
        <v>2.9712476006939974E-3</v>
      </c>
      <c r="D20" s="53" t="str">
        <f>IF(Market_Data_Raw!C20&gt;20,"High Risk","Stable")</f>
        <v>Stable</v>
      </c>
      <c r="E20" s="54">
        <f>Market_Data_Raw!D20+Market_Data_Raw!E20</f>
        <v>502</v>
      </c>
      <c r="F20" s="55">
        <f>IF(Market_Data_Raw!F20&lt;0.8,-1,IF(Market_Data_Raw!F20&gt;1,1,0))</f>
        <v>-1</v>
      </c>
      <c r="G20" s="55">
        <f>IF(Market_Data_Raw!B21&gt;Market_Data_Raw!B20,1,-1)</f>
        <v>-1</v>
      </c>
    </row>
    <row r="21" spans="1:7" x14ac:dyDescent="0.3">
      <c r="A21" s="44">
        <f>Market_Data_Raw!A21</f>
        <v>45676</v>
      </c>
      <c r="B21" s="45">
        <f>Market_Data_Raw!B21</f>
        <v>23620.51</v>
      </c>
      <c r="C21" s="46">
        <f>LN(Market_Data_Raw!B21/Market_Data_Raw!B20)</f>
        <v>-7.4180658611764294E-3</v>
      </c>
      <c r="D21" s="47" t="str">
        <f>IF(Market_Data_Raw!C21&gt;20,"High Risk","Stable")</f>
        <v>Stable</v>
      </c>
      <c r="E21" s="48">
        <f>Market_Data_Raw!D21+Market_Data_Raw!E21</f>
        <v>379</v>
      </c>
      <c r="F21" s="49">
        <f>IF(Market_Data_Raw!F21&lt;0.8,-1,IF(Market_Data_Raw!F21&gt;1,1,0))</f>
        <v>-1</v>
      </c>
      <c r="G21" s="49">
        <f>IF(Market_Data_Raw!B22&gt;Market_Data_Raw!B21,1,-1)</f>
        <v>-1</v>
      </c>
    </row>
    <row r="22" spans="1:7" x14ac:dyDescent="0.3">
      <c r="A22" s="50">
        <f>Market_Data_Raw!A22</f>
        <v>45677</v>
      </c>
      <c r="B22" s="51">
        <f>Market_Data_Raw!B22</f>
        <v>23345.65</v>
      </c>
      <c r="C22" s="52">
        <f>LN(Market_Data_Raw!B22/Market_Data_Raw!B21)</f>
        <v>-1.170473115087892E-2</v>
      </c>
      <c r="D22" s="53" t="str">
        <f>IF(Market_Data_Raw!C22&gt;20,"High Risk","Stable")</f>
        <v>Stable</v>
      </c>
      <c r="E22" s="54">
        <f>Market_Data_Raw!D22+Market_Data_Raw!E22</f>
        <v>-687</v>
      </c>
      <c r="F22" s="55">
        <f>IF(Market_Data_Raw!F22&lt;0.8,-1,IF(Market_Data_Raw!F22&gt;1,1,0))</f>
        <v>-1</v>
      </c>
      <c r="G22" s="55">
        <f>IF(Market_Data_Raw!B23&gt;Market_Data_Raw!B22,1,-1)</f>
        <v>1</v>
      </c>
    </row>
    <row r="23" spans="1:7" x14ac:dyDescent="0.3">
      <c r="A23" s="44">
        <f>Market_Data_Raw!A23</f>
        <v>45678</v>
      </c>
      <c r="B23" s="45">
        <f>Market_Data_Raw!B23</f>
        <v>23645.4</v>
      </c>
      <c r="C23" s="46">
        <f>LN(Market_Data_Raw!B23/Market_Data_Raw!B22)</f>
        <v>1.275792159196815E-2</v>
      </c>
      <c r="D23" s="47" t="str">
        <f>IF(Market_Data_Raw!C23&gt;20,"High Risk","Stable")</f>
        <v>Stable</v>
      </c>
      <c r="E23" s="48">
        <f>Market_Data_Raw!D23+Market_Data_Raw!E23</f>
        <v>2015</v>
      </c>
      <c r="F23" s="49">
        <f>IF(Market_Data_Raw!F23&lt;0.8,-1,IF(Market_Data_Raw!F23&gt;1,1,0))</f>
        <v>0</v>
      </c>
      <c r="G23" s="49">
        <f>IF(Market_Data_Raw!B24&gt;Market_Data_Raw!B23,1,-1)</f>
        <v>-1</v>
      </c>
    </row>
    <row r="24" spans="1:7" x14ac:dyDescent="0.3">
      <c r="A24" s="50">
        <f>Market_Data_Raw!A24</f>
        <v>45679</v>
      </c>
      <c r="B24" s="51">
        <f>Market_Data_Raw!B24</f>
        <v>23607.15</v>
      </c>
      <c r="C24" s="52">
        <f>LN(Market_Data_Raw!B24/Market_Data_Raw!B23)</f>
        <v>-1.6189606002023165E-3</v>
      </c>
      <c r="D24" s="53" t="str">
        <f>IF(Market_Data_Raw!C24&gt;20,"High Risk","Stable")</f>
        <v>Stable</v>
      </c>
      <c r="E24" s="54">
        <f>Market_Data_Raw!D24+Market_Data_Raw!E24</f>
        <v>-81</v>
      </c>
      <c r="F24" s="55">
        <f>IF(Market_Data_Raw!F24&lt;0.8,-1,IF(Market_Data_Raw!F24&gt;1,1,0))</f>
        <v>0</v>
      </c>
      <c r="G24" s="55">
        <f>IF(Market_Data_Raw!B25&gt;Market_Data_Raw!B24,1,-1)</f>
        <v>1</v>
      </c>
    </row>
    <row r="25" spans="1:7" x14ac:dyDescent="0.3">
      <c r="A25" s="44">
        <f>Market_Data_Raw!A25</f>
        <v>45680</v>
      </c>
      <c r="B25" s="45">
        <f>Market_Data_Raw!B25</f>
        <v>23627.79</v>
      </c>
      <c r="C25" s="46">
        <f>LN(Market_Data_Raw!B25/Market_Data_Raw!B24)</f>
        <v>8.7392939691068245E-4</v>
      </c>
      <c r="D25" s="47" t="str">
        <f>IF(Market_Data_Raw!C25&gt;20,"High Risk","Stable")</f>
        <v>Stable</v>
      </c>
      <c r="E25" s="48">
        <f>Market_Data_Raw!D25+Market_Data_Raw!E25</f>
        <v>143</v>
      </c>
      <c r="F25" s="49">
        <f>IF(Market_Data_Raw!F25&lt;0.8,-1,IF(Market_Data_Raw!F25&gt;1,1,0))</f>
        <v>-1</v>
      </c>
      <c r="G25" s="49">
        <f>IF(Market_Data_Raw!B26&gt;Market_Data_Raw!B25,1,-1)</f>
        <v>-1</v>
      </c>
    </row>
    <row r="26" spans="1:7" x14ac:dyDescent="0.3">
      <c r="A26" s="50">
        <f>Market_Data_Raw!A26</f>
        <v>45681</v>
      </c>
      <c r="B26" s="51">
        <f>Market_Data_Raw!B26</f>
        <v>23350.38</v>
      </c>
      <c r="C26" s="52">
        <f>LN(Market_Data_Raw!B26/Market_Data_Raw!B25)</f>
        <v>-1.1810303572787478E-2</v>
      </c>
      <c r="D26" s="53" t="str">
        <f>IF(Market_Data_Raw!C26&gt;20,"High Risk","Stable")</f>
        <v>Stable</v>
      </c>
      <c r="E26" s="54">
        <f>Market_Data_Raw!D26+Market_Data_Raw!E26</f>
        <v>-314</v>
      </c>
      <c r="F26" s="55">
        <f>IF(Market_Data_Raw!F26&lt;0.8,-1,IF(Market_Data_Raw!F26&gt;1,1,0))</f>
        <v>0</v>
      </c>
      <c r="G26" s="55">
        <f>IF(Market_Data_Raw!B27&gt;Market_Data_Raw!B26,1,-1)</f>
        <v>-1</v>
      </c>
    </row>
    <row r="27" spans="1:7" x14ac:dyDescent="0.3">
      <c r="A27" s="44">
        <f>Market_Data_Raw!A27</f>
        <v>45682</v>
      </c>
      <c r="B27" s="45">
        <f>Market_Data_Raw!B27</f>
        <v>23249.56</v>
      </c>
      <c r="C27" s="46">
        <f>LN(Market_Data_Raw!B27/Market_Data_Raw!B26)</f>
        <v>-4.3270509493129631E-3</v>
      </c>
      <c r="D27" s="47" t="str">
        <f>IF(Market_Data_Raw!C27&gt;20,"High Risk","Stable")</f>
        <v>Stable</v>
      </c>
      <c r="E27" s="48">
        <f>Market_Data_Raw!D27+Market_Data_Raw!E27</f>
        <v>651</v>
      </c>
      <c r="F27" s="49">
        <f>IF(Market_Data_Raw!F27&lt;0.8,-1,IF(Market_Data_Raw!F27&gt;1,1,0))</f>
        <v>1</v>
      </c>
      <c r="G27" s="49">
        <f>IF(Market_Data_Raw!B28&gt;Market_Data_Raw!B27,1,-1)</f>
        <v>1</v>
      </c>
    </row>
    <row r="28" spans="1:7" x14ac:dyDescent="0.3">
      <c r="A28" s="50">
        <f>Market_Data_Raw!A28</f>
        <v>45683</v>
      </c>
      <c r="B28" s="51">
        <f>Market_Data_Raw!B28</f>
        <v>23278.47</v>
      </c>
      <c r="C28" s="52">
        <f>LN(Market_Data_Raw!B28/Market_Data_Raw!B27)</f>
        <v>1.2426919308827307E-3</v>
      </c>
      <c r="D28" s="53" t="str">
        <f>IF(Market_Data_Raw!C28&gt;20,"High Risk","Stable")</f>
        <v>Stable</v>
      </c>
      <c r="E28" s="54">
        <f>Market_Data_Raw!D28+Market_Data_Raw!E28</f>
        <v>323</v>
      </c>
      <c r="F28" s="55">
        <f>IF(Market_Data_Raw!F28&lt;0.8,-1,IF(Market_Data_Raw!F28&gt;1,1,0))</f>
        <v>1</v>
      </c>
      <c r="G28" s="55">
        <f>IF(Market_Data_Raw!B29&gt;Market_Data_Raw!B28,1,-1)</f>
        <v>-1</v>
      </c>
    </row>
    <row r="29" spans="1:7" x14ac:dyDescent="0.3">
      <c r="A29" s="44">
        <f>Market_Data_Raw!A29</f>
        <v>45684</v>
      </c>
      <c r="B29" s="45">
        <f>Market_Data_Raw!B29</f>
        <v>23058.75</v>
      </c>
      <c r="C29" s="46">
        <f>LN(Market_Data_Raw!B29/Market_Data_Raw!B28)</f>
        <v>-9.4835921003382992E-3</v>
      </c>
      <c r="D29" s="47" t="str">
        <f>IF(Market_Data_Raw!C29&gt;20,"High Risk","Stable")</f>
        <v>Stable</v>
      </c>
      <c r="E29" s="48">
        <f>Market_Data_Raw!D29+Market_Data_Raw!E29</f>
        <v>-1671</v>
      </c>
      <c r="F29" s="49">
        <f>IF(Market_Data_Raw!F29&lt;0.8,-1,IF(Market_Data_Raw!F29&gt;1,1,0))</f>
        <v>0</v>
      </c>
      <c r="G29" s="49">
        <f>IF(Market_Data_Raw!B30&gt;Market_Data_Raw!B29,1,-1)</f>
        <v>1</v>
      </c>
    </row>
    <row r="30" spans="1:7" x14ac:dyDescent="0.3">
      <c r="A30" s="50">
        <f>Market_Data_Raw!A30</f>
        <v>45685</v>
      </c>
      <c r="B30" s="51">
        <f>Market_Data_Raw!B30</f>
        <v>23139.45</v>
      </c>
      <c r="C30" s="52">
        <f>LN(Market_Data_Raw!B30/Market_Data_Raw!B29)</f>
        <v>3.4936461629412729E-3</v>
      </c>
      <c r="D30" s="53" t="str">
        <f>IF(Market_Data_Raw!C30&gt;20,"High Risk","Stable")</f>
        <v>Stable</v>
      </c>
      <c r="E30" s="54">
        <f>Market_Data_Raw!D30+Market_Data_Raw!E30</f>
        <v>-520</v>
      </c>
      <c r="F30" s="55">
        <f>IF(Market_Data_Raw!F30&lt;0.8,-1,IF(Market_Data_Raw!F30&gt;1,1,0))</f>
        <v>0</v>
      </c>
      <c r="G30" s="55">
        <f>IF(Market_Data_Raw!B31&gt;Market_Data_Raw!B30,1,-1)</f>
        <v>-1</v>
      </c>
    </row>
    <row r="31" spans="1:7" x14ac:dyDescent="0.3">
      <c r="A31" s="44">
        <f>Market_Data_Raw!A31</f>
        <v>45686</v>
      </c>
      <c r="B31" s="45">
        <f>Market_Data_Raw!B31</f>
        <v>23028.52</v>
      </c>
      <c r="C31" s="46">
        <f>LN(Market_Data_Raw!B31/Market_Data_Raw!B30)</f>
        <v>-4.8055053524928377E-3</v>
      </c>
      <c r="D31" s="47" t="str">
        <f>IF(Market_Data_Raw!C31&gt;20,"High Risk","Stable")</f>
        <v>Stable</v>
      </c>
      <c r="E31" s="48">
        <f>Market_Data_Raw!D31+Market_Data_Raw!E31</f>
        <v>-156</v>
      </c>
      <c r="F31" s="49">
        <f>IF(Market_Data_Raw!F31&lt;0.8,-1,IF(Market_Data_Raw!F31&gt;1,1,0))</f>
        <v>0</v>
      </c>
      <c r="G31" s="49">
        <f>IF(Market_Data_Raw!B32&gt;Market_Data_Raw!B31,1,-1)</f>
        <v>-1</v>
      </c>
    </row>
    <row r="32" spans="1:7" x14ac:dyDescent="0.3">
      <c r="A32" s="50">
        <f>Market_Data_Raw!A32</f>
        <v>45687</v>
      </c>
      <c r="B32" s="51">
        <f>Market_Data_Raw!B32</f>
        <v>22978.39</v>
      </c>
      <c r="C32" s="52">
        <f>LN(Market_Data_Raw!B32/Market_Data_Raw!B31)</f>
        <v>-2.179238720413426E-3</v>
      </c>
      <c r="D32" s="53" t="str">
        <f>IF(Market_Data_Raw!C32&gt;20,"High Risk","Stable")</f>
        <v>Stable</v>
      </c>
      <c r="E32" s="54">
        <f>Market_Data_Raw!D32+Market_Data_Raw!E32</f>
        <v>136</v>
      </c>
      <c r="F32" s="55">
        <f>IF(Market_Data_Raw!F32&lt;0.8,-1,IF(Market_Data_Raw!F32&gt;1,1,0))</f>
        <v>0</v>
      </c>
      <c r="G32" s="55">
        <f>IF(Market_Data_Raw!B33&gt;Market_Data_Raw!B32,1,-1)</f>
        <v>-1</v>
      </c>
    </row>
    <row r="33" spans="1:7" x14ac:dyDescent="0.3">
      <c r="A33" s="44">
        <f>Market_Data_Raw!A33</f>
        <v>45688</v>
      </c>
      <c r="B33" s="45">
        <f>Market_Data_Raw!B33</f>
        <v>22868.03</v>
      </c>
      <c r="C33" s="46">
        <f>LN(Market_Data_Raw!B33/Market_Data_Raw!B32)</f>
        <v>-4.814343765964387E-3</v>
      </c>
      <c r="D33" s="47" t="str">
        <f>IF(Market_Data_Raw!C33&gt;20,"High Risk","Stable")</f>
        <v>Stable</v>
      </c>
      <c r="E33" s="48">
        <f>Market_Data_Raw!D33+Market_Data_Raw!E33</f>
        <v>-37</v>
      </c>
      <c r="F33" s="49">
        <f>IF(Market_Data_Raw!F33&lt;0.8,-1,IF(Market_Data_Raw!F33&gt;1,1,0))</f>
        <v>-1</v>
      </c>
      <c r="G33" s="49">
        <f>IF(Market_Data_Raw!B34&gt;Market_Data_Raw!B33,1,-1)</f>
        <v>1</v>
      </c>
    </row>
    <row r="34" spans="1:7" x14ac:dyDescent="0.3">
      <c r="A34" s="50">
        <f>Market_Data_Raw!A34</f>
        <v>45689</v>
      </c>
      <c r="B34" s="51">
        <f>Market_Data_Raw!B34</f>
        <v>23237.89</v>
      </c>
      <c r="C34" s="52">
        <f>LN(Market_Data_Raw!B34/Market_Data_Raw!B33)</f>
        <v>1.6044270845786118E-2</v>
      </c>
      <c r="D34" s="53" t="str">
        <f>IF(Market_Data_Raw!C34&gt;20,"High Risk","Stable")</f>
        <v>Stable</v>
      </c>
      <c r="E34" s="54">
        <f>Market_Data_Raw!D34+Market_Data_Raw!E34</f>
        <v>1330</v>
      </c>
      <c r="F34" s="55">
        <f>IF(Market_Data_Raw!F34&lt;0.8,-1,IF(Market_Data_Raw!F34&gt;1,1,0))</f>
        <v>0</v>
      </c>
      <c r="G34" s="55">
        <f>IF(Market_Data_Raw!B35&gt;Market_Data_Raw!B34,1,-1)</f>
        <v>1</v>
      </c>
    </row>
    <row r="35" spans="1:7" x14ac:dyDescent="0.3">
      <c r="A35" s="44">
        <f>Market_Data_Raw!A35</f>
        <v>45690</v>
      </c>
      <c r="B35" s="45">
        <f>Market_Data_Raw!B35</f>
        <v>23242.2</v>
      </c>
      <c r="C35" s="46">
        <f>LN(Market_Data_Raw!B35/Market_Data_Raw!B34)</f>
        <v>1.8545575158546439E-4</v>
      </c>
      <c r="D35" s="47" t="str">
        <f>IF(Market_Data_Raw!C35&gt;20,"High Risk","Stable")</f>
        <v>Stable</v>
      </c>
      <c r="E35" s="48">
        <f>Market_Data_Raw!D35+Market_Data_Raw!E35</f>
        <v>-1006</v>
      </c>
      <c r="F35" s="49">
        <f>IF(Market_Data_Raw!F35&lt;0.8,-1,IF(Market_Data_Raw!F35&gt;1,1,0))</f>
        <v>-1</v>
      </c>
      <c r="G35" s="49">
        <f>IF(Market_Data_Raw!B36&gt;Market_Data_Raw!B35,1,-1)</f>
        <v>-1</v>
      </c>
    </row>
    <row r="36" spans="1:7" x14ac:dyDescent="0.3">
      <c r="A36" s="50">
        <f>Market_Data_Raw!A36</f>
        <v>45691</v>
      </c>
      <c r="B36" s="51">
        <f>Market_Data_Raw!B36</f>
        <v>23041.09</v>
      </c>
      <c r="C36" s="52">
        <f>LN(Market_Data_Raw!B36/Market_Data_Raw!B35)</f>
        <v>-8.6904481386629578E-3</v>
      </c>
      <c r="D36" s="53" t="str">
        <f>IF(Market_Data_Raw!C36&gt;20,"High Risk","Stable")</f>
        <v>Stable</v>
      </c>
      <c r="E36" s="54">
        <f>Market_Data_Raw!D36+Market_Data_Raw!E36</f>
        <v>-82</v>
      </c>
      <c r="F36" s="55">
        <f>IF(Market_Data_Raw!F36&lt;0.8,-1,IF(Market_Data_Raw!F36&gt;1,1,0))</f>
        <v>0</v>
      </c>
      <c r="G36" s="55">
        <f>IF(Market_Data_Raw!B37&gt;Market_Data_Raw!B36,1,-1)</f>
        <v>1</v>
      </c>
    </row>
    <row r="37" spans="1:7" x14ac:dyDescent="0.3">
      <c r="A37" s="44">
        <f>Market_Data_Raw!A37</f>
        <v>45692</v>
      </c>
      <c r="B37" s="45">
        <f>Market_Data_Raw!B37</f>
        <v>23209.71</v>
      </c>
      <c r="C37" s="46">
        <f>LN(Market_Data_Raw!B37/Market_Data_Raw!B36)</f>
        <v>7.2915818574653506E-3</v>
      </c>
      <c r="D37" s="47" t="str">
        <f>IF(Market_Data_Raw!C37&gt;20,"High Risk","Stable")</f>
        <v>Stable</v>
      </c>
      <c r="E37" s="48">
        <f>Market_Data_Raw!D37+Market_Data_Raw!E37</f>
        <v>483</v>
      </c>
      <c r="F37" s="49">
        <f>IF(Market_Data_Raw!F37&lt;0.8,-1,IF(Market_Data_Raw!F37&gt;1,1,0))</f>
        <v>0</v>
      </c>
      <c r="G37" s="49">
        <f>IF(Market_Data_Raw!B38&gt;Market_Data_Raw!B37,1,-1)</f>
        <v>-1</v>
      </c>
    </row>
    <row r="38" spans="1:7" x14ac:dyDescent="0.3">
      <c r="A38" s="50">
        <f>Market_Data_Raw!A38</f>
        <v>45693</v>
      </c>
      <c r="B38" s="51">
        <f>Market_Data_Raw!B38</f>
        <v>22977</v>
      </c>
      <c r="C38" s="52">
        <f>LN(Market_Data_Raw!B38/Market_Data_Raw!B37)</f>
        <v>-1.0077009998330791E-2</v>
      </c>
      <c r="D38" s="53" t="str">
        <f>IF(Market_Data_Raw!C38&gt;20,"High Risk","Stable")</f>
        <v>High Risk</v>
      </c>
      <c r="E38" s="54">
        <f>Market_Data_Raw!D38+Market_Data_Raw!E38</f>
        <v>-257</v>
      </c>
      <c r="F38" s="55">
        <f>IF(Market_Data_Raw!F38&lt;0.8,-1,IF(Market_Data_Raw!F38&gt;1,1,0))</f>
        <v>0</v>
      </c>
      <c r="G38" s="55">
        <f>IF(Market_Data_Raw!B39&gt;Market_Data_Raw!B38,1,-1)</f>
        <v>1</v>
      </c>
    </row>
    <row r="39" spans="1:7" x14ac:dyDescent="0.3">
      <c r="A39" s="44">
        <f>Market_Data_Raw!A39</f>
        <v>45694</v>
      </c>
      <c r="B39" s="45">
        <f>Market_Data_Raw!B39</f>
        <v>23024.73</v>
      </c>
      <c r="C39" s="46">
        <f>LN(Market_Data_Raw!B39/Market_Data_Raw!B38)</f>
        <v>2.0751400926850259E-3</v>
      </c>
      <c r="D39" s="47" t="str">
        <f>IF(Market_Data_Raw!C39&gt;20,"High Risk","Stable")</f>
        <v>Stable</v>
      </c>
      <c r="E39" s="48">
        <f>Market_Data_Raw!D39+Market_Data_Raw!E39</f>
        <v>864</v>
      </c>
      <c r="F39" s="49">
        <f>IF(Market_Data_Raw!F39&lt;0.8,-1,IF(Market_Data_Raw!F39&gt;1,1,0))</f>
        <v>1</v>
      </c>
      <c r="G39" s="49">
        <f>IF(Market_Data_Raw!B40&gt;Market_Data_Raw!B39,1,-1)</f>
        <v>-1</v>
      </c>
    </row>
    <row r="40" spans="1:7" x14ac:dyDescent="0.3">
      <c r="A40" s="50">
        <f>Market_Data_Raw!A40</f>
        <v>45695</v>
      </c>
      <c r="B40" s="51">
        <f>Market_Data_Raw!B40</f>
        <v>22651.17</v>
      </c>
      <c r="C40" s="52">
        <f>LN(Market_Data_Raw!B40/Market_Data_Raw!B39)</f>
        <v>-1.635734946417515E-2</v>
      </c>
      <c r="D40" s="53" t="str">
        <f>IF(Market_Data_Raw!C40&gt;20,"High Risk","Stable")</f>
        <v>Stable</v>
      </c>
      <c r="E40" s="54">
        <f>Market_Data_Raw!D40+Market_Data_Raw!E40</f>
        <v>-514</v>
      </c>
      <c r="F40" s="55">
        <f>IF(Market_Data_Raw!F40&lt;0.8,-1,IF(Market_Data_Raw!F40&gt;1,1,0))</f>
        <v>-1</v>
      </c>
      <c r="G40" s="55">
        <f>IF(Market_Data_Raw!B41&gt;Market_Data_Raw!B40,1,-1)</f>
        <v>-1</v>
      </c>
    </row>
    <row r="41" spans="1:7" x14ac:dyDescent="0.3">
      <c r="A41" s="44">
        <f>Market_Data_Raw!A41</f>
        <v>45696</v>
      </c>
      <c r="B41" s="45">
        <f>Market_Data_Raw!B41</f>
        <v>22403.61</v>
      </c>
      <c r="C41" s="46">
        <f>LN(Market_Data_Raw!B41/Market_Data_Raw!B40)</f>
        <v>-1.0989399633788829E-2</v>
      </c>
      <c r="D41" s="47" t="str">
        <f>IF(Market_Data_Raw!C41&gt;20,"High Risk","Stable")</f>
        <v>Stable</v>
      </c>
      <c r="E41" s="48">
        <f>Market_Data_Raw!D41+Market_Data_Raw!E41</f>
        <v>-266</v>
      </c>
      <c r="F41" s="49">
        <f>IF(Market_Data_Raw!F41&lt;0.8,-1,IF(Market_Data_Raw!F41&gt;1,1,0))</f>
        <v>-1</v>
      </c>
      <c r="G41" s="49">
        <f>IF(Market_Data_Raw!B42&gt;Market_Data_Raw!B41,1,-1)</f>
        <v>1</v>
      </c>
    </row>
    <row r="42" spans="1:7" x14ac:dyDescent="0.3">
      <c r="A42" s="50">
        <f>Market_Data_Raw!A42</f>
        <v>45697</v>
      </c>
      <c r="B42" s="51">
        <f>Market_Data_Raw!B42</f>
        <v>22447.86</v>
      </c>
      <c r="C42" s="52">
        <f>LN(Market_Data_Raw!B42/Market_Data_Raw!B41)</f>
        <v>1.9731801145897628E-3</v>
      </c>
      <c r="D42" s="53" t="str">
        <f>IF(Market_Data_Raw!C42&gt;20,"High Risk","Stable")</f>
        <v>Stable</v>
      </c>
      <c r="E42" s="54">
        <f>Market_Data_Raw!D42+Market_Data_Raw!E42</f>
        <v>599</v>
      </c>
      <c r="F42" s="55">
        <f>IF(Market_Data_Raw!F42&lt;0.8,-1,IF(Market_Data_Raw!F42&gt;1,1,0))</f>
        <v>0</v>
      </c>
      <c r="G42" s="55">
        <f>IF(Market_Data_Raw!B43&gt;Market_Data_Raw!B42,1,-1)</f>
        <v>1</v>
      </c>
    </row>
    <row r="43" spans="1:7" x14ac:dyDescent="0.3">
      <c r="A43" s="44">
        <f>Market_Data_Raw!A43</f>
        <v>45698</v>
      </c>
      <c r="B43" s="45">
        <f>Market_Data_Raw!B43</f>
        <v>22595.99</v>
      </c>
      <c r="C43" s="46">
        <f>LN(Market_Data_Raw!B43/Market_Data_Raw!B42)</f>
        <v>6.5771702018364801E-3</v>
      </c>
      <c r="D43" s="47" t="str">
        <f>IF(Market_Data_Raw!C43&gt;20,"High Risk","Stable")</f>
        <v>Stable</v>
      </c>
      <c r="E43" s="48">
        <f>Market_Data_Raw!D43+Market_Data_Raw!E43</f>
        <v>-480</v>
      </c>
      <c r="F43" s="49">
        <f>IF(Market_Data_Raw!F43&lt;0.8,-1,IF(Market_Data_Raw!F43&gt;1,1,0))</f>
        <v>1</v>
      </c>
      <c r="G43" s="49">
        <f>IF(Market_Data_Raw!B44&gt;Market_Data_Raw!B43,1,-1)</f>
        <v>1</v>
      </c>
    </row>
    <row r="44" spans="1:7" x14ac:dyDescent="0.3">
      <c r="A44" s="50">
        <f>Market_Data_Raw!A44</f>
        <v>45699</v>
      </c>
      <c r="B44" s="51">
        <f>Market_Data_Raw!B44</f>
        <v>22635.72</v>
      </c>
      <c r="C44" s="52">
        <f>LN(Market_Data_Raw!B44/Market_Data_Raw!B43)</f>
        <v>1.7567326204377962E-3</v>
      </c>
      <c r="D44" s="53" t="str">
        <f>IF(Market_Data_Raw!C44&gt;20,"High Risk","Stable")</f>
        <v>Stable</v>
      </c>
      <c r="E44" s="54">
        <f>Market_Data_Raw!D44+Market_Data_Raw!E44</f>
        <v>782</v>
      </c>
      <c r="F44" s="55">
        <f>IF(Market_Data_Raw!F44&lt;0.8,-1,IF(Market_Data_Raw!F44&gt;1,1,0))</f>
        <v>1</v>
      </c>
      <c r="G44" s="55">
        <f>IF(Market_Data_Raw!B45&gt;Market_Data_Raw!B44,1,-1)</f>
        <v>-1</v>
      </c>
    </row>
    <row r="45" spans="1:7" x14ac:dyDescent="0.3">
      <c r="A45" s="44">
        <f>Market_Data_Raw!A45</f>
        <v>45700</v>
      </c>
      <c r="B45" s="45">
        <f>Market_Data_Raw!B45</f>
        <v>22620.26</v>
      </c>
      <c r="C45" s="46">
        <f>LN(Market_Data_Raw!B45/Market_Data_Raw!B44)</f>
        <v>-6.8322465236158409E-4</v>
      </c>
      <c r="D45" s="47" t="str">
        <f>IF(Market_Data_Raw!C45&gt;20,"High Risk","Stable")</f>
        <v>Stable</v>
      </c>
      <c r="E45" s="48">
        <f>Market_Data_Raw!D45+Market_Data_Raw!E45</f>
        <v>-104</v>
      </c>
      <c r="F45" s="49">
        <f>IF(Market_Data_Raw!F45&lt;0.8,-1,IF(Market_Data_Raw!F45&gt;1,1,0))</f>
        <v>0</v>
      </c>
      <c r="G45" s="49">
        <f>IF(Market_Data_Raw!B46&gt;Market_Data_Raw!B45,1,-1)</f>
        <v>-1</v>
      </c>
    </row>
    <row r="46" spans="1:7" x14ac:dyDescent="0.3">
      <c r="A46" s="50">
        <f>Market_Data_Raw!A46</f>
        <v>45701</v>
      </c>
      <c r="B46" s="51">
        <f>Market_Data_Raw!B46</f>
        <v>22569.21</v>
      </c>
      <c r="C46" s="52">
        <f>LN(Market_Data_Raw!B46/Market_Data_Raw!B45)</f>
        <v>-2.2593768732671474E-3</v>
      </c>
      <c r="D46" s="53" t="str">
        <f>IF(Market_Data_Raw!C46&gt;20,"High Risk","Stable")</f>
        <v>Stable</v>
      </c>
      <c r="E46" s="54">
        <f>Market_Data_Raw!D46+Market_Data_Raw!E46</f>
        <v>394</v>
      </c>
      <c r="F46" s="55">
        <f>IF(Market_Data_Raw!F46&lt;0.8,-1,IF(Market_Data_Raw!F46&gt;1,1,0))</f>
        <v>1</v>
      </c>
      <c r="G46" s="55">
        <f>IF(Market_Data_Raw!B47&gt;Market_Data_Raw!B46,1,-1)</f>
        <v>-1</v>
      </c>
    </row>
    <row r="47" spans="1:7" x14ac:dyDescent="0.3">
      <c r="A47" s="44">
        <f>Market_Data_Raw!A47</f>
        <v>45702</v>
      </c>
      <c r="B47" s="45">
        <f>Market_Data_Raw!B47</f>
        <v>22294.03</v>
      </c>
      <c r="C47" s="46">
        <f>LN(Market_Data_Raw!B47/Market_Data_Raw!B46)</f>
        <v>-1.2267658381456992E-2</v>
      </c>
      <c r="D47" s="47" t="str">
        <f>IF(Market_Data_Raw!C47&gt;20,"High Risk","Stable")</f>
        <v>Stable</v>
      </c>
      <c r="E47" s="48">
        <f>Market_Data_Raw!D47+Market_Data_Raw!E47</f>
        <v>-598</v>
      </c>
      <c r="F47" s="49">
        <f>IF(Market_Data_Raw!F47&lt;0.8,-1,IF(Market_Data_Raw!F47&gt;1,1,0))</f>
        <v>0</v>
      </c>
      <c r="G47" s="49">
        <f>IF(Market_Data_Raw!B48&gt;Market_Data_Raw!B47,1,-1)</f>
        <v>-1</v>
      </c>
    </row>
    <row r="48" spans="1:7" x14ac:dyDescent="0.3">
      <c r="A48" s="50">
        <f>Market_Data_Raw!A48</f>
        <v>45703</v>
      </c>
      <c r="B48" s="51">
        <f>Market_Data_Raw!B48</f>
        <v>22164.68</v>
      </c>
      <c r="C48" s="52">
        <f>LN(Market_Data_Raw!B48/Market_Data_Raw!B47)</f>
        <v>-5.818898702992987E-3</v>
      </c>
      <c r="D48" s="53" t="str">
        <f>IF(Market_Data_Raw!C48&gt;20,"High Risk","Stable")</f>
        <v>Stable</v>
      </c>
      <c r="E48" s="54">
        <f>Market_Data_Raw!D48+Market_Data_Raw!E48</f>
        <v>-1458</v>
      </c>
      <c r="F48" s="55">
        <f>IF(Market_Data_Raw!F48&lt;0.8,-1,IF(Market_Data_Raw!F48&gt;1,1,0))</f>
        <v>0</v>
      </c>
      <c r="G48" s="55">
        <f>IF(Market_Data_Raw!B49&gt;Market_Data_Raw!B48,1,-1)</f>
        <v>-1</v>
      </c>
    </row>
    <row r="49" spans="1:7" x14ac:dyDescent="0.3">
      <c r="A49" s="44">
        <f>Market_Data_Raw!A49</f>
        <v>45704</v>
      </c>
      <c r="B49" s="45">
        <f>Market_Data_Raw!B49</f>
        <v>22084.69</v>
      </c>
      <c r="C49" s="46">
        <f>LN(Market_Data_Raw!B49/Market_Data_Raw!B48)</f>
        <v>-3.6154226435748901E-3</v>
      </c>
      <c r="D49" s="47" t="str">
        <f>IF(Market_Data_Raw!C49&gt;20,"High Risk","Stable")</f>
        <v>Stable</v>
      </c>
      <c r="E49" s="48">
        <f>Market_Data_Raw!D49+Market_Data_Raw!E49</f>
        <v>277</v>
      </c>
      <c r="F49" s="49">
        <f>IF(Market_Data_Raw!F49&lt;0.8,-1,IF(Market_Data_Raw!F49&gt;1,1,0))</f>
        <v>0</v>
      </c>
      <c r="G49" s="49">
        <f>IF(Market_Data_Raw!B50&gt;Market_Data_Raw!B49,1,-1)</f>
        <v>1</v>
      </c>
    </row>
    <row r="50" spans="1:7" x14ac:dyDescent="0.3">
      <c r="A50" s="50">
        <f>Market_Data_Raw!A50</f>
        <v>45705</v>
      </c>
      <c r="B50" s="51">
        <f>Market_Data_Raw!B50</f>
        <v>22290.71</v>
      </c>
      <c r="C50" s="52">
        <f>LN(Market_Data_Raw!B50/Market_Data_Raw!B49)</f>
        <v>9.2853914658000327E-3</v>
      </c>
      <c r="D50" s="53" t="str">
        <f>IF(Market_Data_Raw!C50&gt;20,"High Risk","Stable")</f>
        <v>Stable</v>
      </c>
      <c r="E50" s="54">
        <f>Market_Data_Raw!D50+Market_Data_Raw!E50</f>
        <v>851</v>
      </c>
      <c r="F50" s="55">
        <f>IF(Market_Data_Raw!F50&lt;0.8,-1,IF(Market_Data_Raw!F50&gt;1,1,0))</f>
        <v>0</v>
      </c>
      <c r="G50" s="55">
        <f>IF(Market_Data_Raw!B51&gt;Market_Data_Raw!B50,1,-1)</f>
        <v>1</v>
      </c>
    </row>
    <row r="51" spans="1:7" x14ac:dyDescent="0.3">
      <c r="A51" s="44">
        <f>Market_Data_Raw!A51</f>
        <v>45706</v>
      </c>
      <c r="B51" s="45">
        <f>Market_Data_Raw!B51</f>
        <v>22362.62</v>
      </c>
      <c r="C51" s="46">
        <f>LN(Market_Data_Raw!B51/Market_Data_Raw!B50)</f>
        <v>3.2208152074702065E-3</v>
      </c>
      <c r="D51" s="47" t="str">
        <f>IF(Market_Data_Raw!C51&gt;20,"High Risk","Stable")</f>
        <v>Stable</v>
      </c>
      <c r="E51" s="48">
        <f>Market_Data_Raw!D51+Market_Data_Raw!E51</f>
        <v>640</v>
      </c>
      <c r="F51" s="49">
        <f>IF(Market_Data_Raw!F51&lt;0.8,-1,IF(Market_Data_Raw!F51&gt;1,1,0))</f>
        <v>-1</v>
      </c>
      <c r="G51" s="49">
        <f>IF(Market_Data_Raw!B52&gt;Market_Data_Raw!B51,1,-1)</f>
        <v>-1</v>
      </c>
    </row>
    <row r="52" spans="1:7" x14ac:dyDescent="0.3">
      <c r="A52" s="50">
        <f>Market_Data_Raw!A52</f>
        <v>45707</v>
      </c>
      <c r="B52" s="51">
        <f>Market_Data_Raw!B52</f>
        <v>22036.61</v>
      </c>
      <c r="C52" s="52">
        <f>LN(Market_Data_Raw!B52/Market_Data_Raw!B51)</f>
        <v>-1.4685653744486061E-2</v>
      </c>
      <c r="D52" s="53" t="str">
        <f>IF(Market_Data_Raw!C52&gt;20,"High Risk","Stable")</f>
        <v>Stable</v>
      </c>
      <c r="E52" s="54">
        <f>Market_Data_Raw!D52+Market_Data_Raw!E52</f>
        <v>-424</v>
      </c>
      <c r="F52" s="55">
        <f>IF(Market_Data_Raw!F52&lt;0.8,-1,IF(Market_Data_Raw!F52&gt;1,1,0))</f>
        <v>1</v>
      </c>
      <c r="G52" s="55">
        <f>IF(Market_Data_Raw!B53&gt;Market_Data_Raw!B52,1,-1)</f>
        <v>1</v>
      </c>
    </row>
    <row r="53" spans="1:7" x14ac:dyDescent="0.3">
      <c r="A53" s="44">
        <f>Market_Data_Raw!A53</f>
        <v>45708</v>
      </c>
      <c r="B53" s="45">
        <f>Market_Data_Raw!B53</f>
        <v>22104.03</v>
      </c>
      <c r="C53" s="46">
        <f>LN(Market_Data_Raw!B53/Market_Data_Raw!B52)</f>
        <v>3.0547836383256247E-3</v>
      </c>
      <c r="D53" s="47" t="str">
        <f>IF(Market_Data_Raw!C53&gt;20,"High Risk","Stable")</f>
        <v>High Risk</v>
      </c>
      <c r="E53" s="48">
        <f>Market_Data_Raw!D53+Market_Data_Raw!E53</f>
        <v>174</v>
      </c>
      <c r="F53" s="49">
        <f>IF(Market_Data_Raw!F53&lt;0.8,-1,IF(Market_Data_Raw!F53&gt;1,1,0))</f>
        <v>1</v>
      </c>
      <c r="G53" s="49">
        <f>IF(Market_Data_Raw!B54&gt;Market_Data_Raw!B53,1,-1)</f>
        <v>-1</v>
      </c>
    </row>
    <row r="54" spans="1:7" x14ac:dyDescent="0.3">
      <c r="A54" s="50">
        <f>Market_Data_Raw!A54</f>
        <v>45709</v>
      </c>
      <c r="B54" s="51">
        <f>Market_Data_Raw!B54</f>
        <v>22038.41</v>
      </c>
      <c r="C54" s="52">
        <f>LN(Market_Data_Raw!B54/Market_Data_Raw!B53)</f>
        <v>-2.9731047190192711E-3</v>
      </c>
      <c r="D54" s="53" t="str">
        <f>IF(Market_Data_Raw!C54&gt;20,"High Risk","Stable")</f>
        <v>Stable</v>
      </c>
      <c r="E54" s="54">
        <f>Market_Data_Raw!D54+Market_Data_Raw!E54</f>
        <v>544</v>
      </c>
      <c r="F54" s="55">
        <f>IF(Market_Data_Raw!F54&lt;0.8,-1,IF(Market_Data_Raw!F54&gt;1,1,0))</f>
        <v>0</v>
      </c>
      <c r="G54" s="55">
        <f>IF(Market_Data_Raw!B55&gt;Market_Data_Raw!B54,1,-1)</f>
        <v>-1</v>
      </c>
    </row>
    <row r="55" spans="1:7" x14ac:dyDescent="0.3">
      <c r="A55" s="44">
        <f>Market_Data_Raw!A55</f>
        <v>45710</v>
      </c>
      <c r="B55" s="45">
        <f>Market_Data_Raw!B55</f>
        <v>21918.54</v>
      </c>
      <c r="C55" s="46">
        <f>LN(Market_Data_Raw!B55/Market_Data_Raw!B54)</f>
        <v>-5.4539860994562619E-3</v>
      </c>
      <c r="D55" s="47" t="str">
        <f>IF(Market_Data_Raw!C55&gt;20,"High Risk","Stable")</f>
        <v>Stable</v>
      </c>
      <c r="E55" s="48">
        <f>Market_Data_Raw!D55+Market_Data_Raw!E55</f>
        <v>-392</v>
      </c>
      <c r="F55" s="49">
        <f>IF(Market_Data_Raw!F55&lt;0.8,-1,IF(Market_Data_Raw!F55&gt;1,1,0))</f>
        <v>0</v>
      </c>
      <c r="G55" s="49">
        <f>IF(Market_Data_Raw!B56&gt;Market_Data_Raw!B55,1,-1)</f>
        <v>1</v>
      </c>
    </row>
    <row r="56" spans="1:7" x14ac:dyDescent="0.3">
      <c r="A56" s="50">
        <f>Market_Data_Raw!A56</f>
        <v>45711</v>
      </c>
      <c r="B56" s="51">
        <f>Market_Data_Raw!B56</f>
        <v>22039.41</v>
      </c>
      <c r="C56" s="52">
        <f>LN(Market_Data_Raw!B56/Market_Data_Raw!B55)</f>
        <v>5.4993603942907112E-3</v>
      </c>
      <c r="D56" s="53" t="str">
        <f>IF(Market_Data_Raw!C56&gt;20,"High Risk","Stable")</f>
        <v>Stable</v>
      </c>
      <c r="E56" s="54">
        <f>Market_Data_Raw!D56+Market_Data_Raw!E56</f>
        <v>918</v>
      </c>
      <c r="F56" s="55">
        <f>IF(Market_Data_Raw!F56&lt;0.8,-1,IF(Market_Data_Raw!F56&gt;1,1,0))</f>
        <v>0</v>
      </c>
      <c r="G56" s="55">
        <f>IF(Market_Data_Raw!B57&gt;Market_Data_Raw!B56,1,-1)</f>
        <v>1</v>
      </c>
    </row>
    <row r="57" spans="1:7" x14ac:dyDescent="0.3">
      <c r="A57" s="44">
        <f>Market_Data_Raw!A57</f>
        <v>45712</v>
      </c>
      <c r="B57" s="45">
        <f>Market_Data_Raw!B57</f>
        <v>22240.07</v>
      </c>
      <c r="C57" s="46">
        <f>LN(Market_Data_Raw!B57/Market_Data_Raw!B56)</f>
        <v>9.0634024430205316E-3</v>
      </c>
      <c r="D57" s="47" t="str">
        <f>IF(Market_Data_Raw!C57&gt;20,"High Risk","Stable")</f>
        <v>Stable</v>
      </c>
      <c r="E57" s="48">
        <f>Market_Data_Raw!D57+Market_Data_Raw!E57</f>
        <v>522</v>
      </c>
      <c r="F57" s="49">
        <f>IF(Market_Data_Raw!F57&lt;0.8,-1,IF(Market_Data_Raw!F57&gt;1,1,0))</f>
        <v>0</v>
      </c>
      <c r="G57" s="49">
        <f>IF(Market_Data_Raw!B58&gt;Market_Data_Raw!B57,1,-1)</f>
        <v>1</v>
      </c>
    </row>
    <row r="58" spans="1:7" x14ac:dyDescent="0.3">
      <c r="A58" s="50">
        <f>Market_Data_Raw!A58</f>
        <v>45713</v>
      </c>
      <c r="B58" s="51">
        <f>Market_Data_Raw!B58</f>
        <v>22423.54</v>
      </c>
      <c r="C58" s="52">
        <f>LN(Market_Data_Raw!B58/Market_Data_Raw!B57)</f>
        <v>8.2156830573513855E-3</v>
      </c>
      <c r="D58" s="53" t="str">
        <f>IF(Market_Data_Raw!C58&gt;20,"High Risk","Stable")</f>
        <v>Stable</v>
      </c>
      <c r="E58" s="54">
        <f>Market_Data_Raw!D58+Market_Data_Raw!E58</f>
        <v>520</v>
      </c>
      <c r="F58" s="55">
        <f>IF(Market_Data_Raw!F58&lt;0.8,-1,IF(Market_Data_Raw!F58&gt;1,1,0))</f>
        <v>0</v>
      </c>
      <c r="G58" s="55">
        <f>IF(Market_Data_Raw!B59&gt;Market_Data_Raw!B58,1,-1)</f>
        <v>-1</v>
      </c>
    </row>
    <row r="59" spans="1:7" x14ac:dyDescent="0.3">
      <c r="A59" s="44">
        <f>Market_Data_Raw!A59</f>
        <v>45714</v>
      </c>
      <c r="B59" s="45">
        <f>Market_Data_Raw!B59</f>
        <v>22270.83</v>
      </c>
      <c r="C59" s="46">
        <f>LN(Market_Data_Raw!B59/Market_Data_Raw!B58)</f>
        <v>-6.833549472242093E-3</v>
      </c>
      <c r="D59" s="47" t="str">
        <f>IF(Market_Data_Raw!C59&gt;20,"High Risk","Stable")</f>
        <v>Stable</v>
      </c>
      <c r="E59" s="48">
        <f>Market_Data_Raw!D59+Market_Data_Raw!E59</f>
        <v>-444</v>
      </c>
      <c r="F59" s="49">
        <f>IF(Market_Data_Raw!F59&lt;0.8,-1,IF(Market_Data_Raw!F59&gt;1,1,0))</f>
        <v>0</v>
      </c>
      <c r="G59" s="49">
        <f>IF(Market_Data_Raw!B60&gt;Market_Data_Raw!B59,1,-1)</f>
        <v>-1</v>
      </c>
    </row>
    <row r="60" spans="1:7" x14ac:dyDescent="0.3">
      <c r="A60" s="50">
        <f>Market_Data_Raw!A60</f>
        <v>45715</v>
      </c>
      <c r="B60" s="51">
        <f>Market_Data_Raw!B60</f>
        <v>22219.040000000001</v>
      </c>
      <c r="C60" s="52">
        <f>LN(Market_Data_Raw!B60/Market_Data_Raw!B59)</f>
        <v>-2.3281714868335253E-3</v>
      </c>
      <c r="D60" s="53" t="str">
        <f>IF(Market_Data_Raw!C60&gt;20,"High Risk","Stable")</f>
        <v>High Risk</v>
      </c>
      <c r="E60" s="54">
        <f>Market_Data_Raw!D60+Market_Data_Raw!E60</f>
        <v>29</v>
      </c>
      <c r="F60" s="55">
        <f>IF(Market_Data_Raw!F60&lt;0.8,-1,IF(Market_Data_Raw!F60&gt;1,1,0))</f>
        <v>0</v>
      </c>
      <c r="G60" s="55">
        <f>IF(Market_Data_Raw!B61&gt;Market_Data_Raw!B60,1,-1)</f>
        <v>1</v>
      </c>
    </row>
    <row r="61" spans="1:7" x14ac:dyDescent="0.3">
      <c r="A61" s="44">
        <f>Market_Data_Raw!A61</f>
        <v>45716</v>
      </c>
      <c r="B61" s="45">
        <f>Market_Data_Raw!B61</f>
        <v>22288.38</v>
      </c>
      <c r="C61" s="46">
        <f>LN(Market_Data_Raw!B61/Market_Data_Raw!B60)</f>
        <v>3.115887467771165E-3</v>
      </c>
      <c r="D61" s="47" t="str">
        <f>IF(Market_Data_Raw!C61&gt;20,"High Risk","Stable")</f>
        <v>High Risk</v>
      </c>
      <c r="E61" s="48">
        <f>Market_Data_Raw!D61+Market_Data_Raw!E61</f>
        <v>-21</v>
      </c>
      <c r="F61" s="49">
        <f>IF(Market_Data_Raw!F61&lt;0.8,-1,IF(Market_Data_Raw!F61&gt;1,1,0))</f>
        <v>1</v>
      </c>
      <c r="G61" s="49">
        <f>IF(Market_Data_Raw!B62&gt;Market_Data_Raw!B61,1,-1)</f>
        <v>1</v>
      </c>
    </row>
    <row r="62" spans="1:7" x14ac:dyDescent="0.3">
      <c r="A62" s="50">
        <f>Market_Data_Raw!A62</f>
        <v>45717</v>
      </c>
      <c r="B62" s="51">
        <f>Market_Data_Raw!B62</f>
        <v>22480.71</v>
      </c>
      <c r="C62" s="52">
        <f>LN(Market_Data_Raw!B62/Market_Data_Raw!B61)</f>
        <v>8.5921417311417125E-3</v>
      </c>
      <c r="D62" s="53" t="str">
        <f>IF(Market_Data_Raw!C62&gt;20,"High Risk","Stable")</f>
        <v>High Risk</v>
      </c>
      <c r="E62" s="54">
        <f>Market_Data_Raw!D62+Market_Data_Raw!E62</f>
        <v>1403</v>
      </c>
      <c r="F62" s="55">
        <f>IF(Market_Data_Raw!F62&lt;0.8,-1,IF(Market_Data_Raw!F62&gt;1,1,0))</f>
        <v>1</v>
      </c>
      <c r="G62" s="55">
        <f>IF(Market_Data_Raw!B63&gt;Market_Data_Raw!B62,1,-1)</f>
        <v>-1</v>
      </c>
    </row>
    <row r="63" spans="1:7" x14ac:dyDescent="0.3">
      <c r="A63" s="44">
        <f>Market_Data_Raw!A63</f>
        <v>45718</v>
      </c>
      <c r="B63" s="45">
        <f>Market_Data_Raw!B63</f>
        <v>22396.05</v>
      </c>
      <c r="C63" s="46">
        <f>LN(Market_Data_Raw!B63/Market_Data_Raw!B62)</f>
        <v>-3.7730041309511756E-3</v>
      </c>
      <c r="D63" s="47" t="str">
        <f>IF(Market_Data_Raw!C63&gt;20,"High Risk","Stable")</f>
        <v>High Risk</v>
      </c>
      <c r="E63" s="48">
        <f>Market_Data_Raw!D63+Market_Data_Raw!E63</f>
        <v>-582</v>
      </c>
      <c r="F63" s="49">
        <f>IF(Market_Data_Raw!F63&lt;0.8,-1,IF(Market_Data_Raw!F63&gt;1,1,0))</f>
        <v>0</v>
      </c>
      <c r="G63" s="49">
        <f>IF(Market_Data_Raw!B64&gt;Market_Data_Raw!B63,1,-1)</f>
        <v>-1</v>
      </c>
    </row>
    <row r="64" spans="1:7" x14ac:dyDescent="0.3">
      <c r="A64" s="50">
        <f>Market_Data_Raw!A64</f>
        <v>45719</v>
      </c>
      <c r="B64" s="51">
        <f>Market_Data_Raw!B64</f>
        <v>22367.439999999999</v>
      </c>
      <c r="C64" s="52">
        <f>LN(Market_Data_Raw!B64/Market_Data_Raw!B63)</f>
        <v>-1.2782740530593918E-3</v>
      </c>
      <c r="D64" s="53" t="str">
        <f>IF(Market_Data_Raw!C64&gt;20,"High Risk","Stable")</f>
        <v>Stable</v>
      </c>
      <c r="E64" s="54">
        <f>Market_Data_Raw!D64+Market_Data_Raw!E64</f>
        <v>136</v>
      </c>
      <c r="F64" s="55">
        <f>IF(Market_Data_Raw!F64&lt;0.8,-1,IF(Market_Data_Raw!F64&gt;1,1,0))</f>
        <v>1</v>
      </c>
      <c r="G64" s="55">
        <f>IF(Market_Data_Raw!B65&gt;Market_Data_Raw!B64,1,-1)</f>
        <v>-1</v>
      </c>
    </row>
    <row r="65" spans="1:7" x14ac:dyDescent="0.3">
      <c r="A65" s="44">
        <f>Market_Data_Raw!A65</f>
        <v>45720</v>
      </c>
      <c r="B65" s="45">
        <f>Market_Data_Raw!B65</f>
        <v>22164.73</v>
      </c>
      <c r="C65" s="46">
        <f>LN(Market_Data_Raw!B65/Market_Data_Raw!B64)</f>
        <v>-9.1040432168172855E-3</v>
      </c>
      <c r="D65" s="47" t="str">
        <f>IF(Market_Data_Raw!C65&gt;20,"High Risk","Stable")</f>
        <v>High Risk</v>
      </c>
      <c r="E65" s="48">
        <f>Market_Data_Raw!D65+Market_Data_Raw!E65</f>
        <v>194</v>
      </c>
      <c r="F65" s="49">
        <f>IF(Market_Data_Raw!F65&lt;0.8,-1,IF(Market_Data_Raw!F65&gt;1,1,0))</f>
        <v>-1</v>
      </c>
      <c r="G65" s="49">
        <f>IF(Market_Data_Raw!B66&gt;Market_Data_Raw!B65,1,-1)</f>
        <v>-1</v>
      </c>
    </row>
    <row r="66" spans="1:7" x14ac:dyDescent="0.3">
      <c r="A66" s="50">
        <f>Market_Data_Raw!A66</f>
        <v>45721</v>
      </c>
      <c r="B66" s="51">
        <f>Market_Data_Raw!B66</f>
        <v>21947.09</v>
      </c>
      <c r="C66" s="52">
        <f>LN(Market_Data_Raw!B66/Market_Data_Raw!B65)</f>
        <v>-9.8677300552273226E-3</v>
      </c>
      <c r="D66" s="53" t="str">
        <f>IF(Market_Data_Raw!C66&gt;20,"High Risk","Stable")</f>
        <v>High Risk</v>
      </c>
      <c r="E66" s="54">
        <f>Market_Data_Raw!D66+Market_Data_Raw!E66</f>
        <v>700</v>
      </c>
      <c r="F66" s="55">
        <f>IF(Market_Data_Raw!F66&lt;0.8,-1,IF(Market_Data_Raw!F66&gt;1,1,0))</f>
        <v>1</v>
      </c>
      <c r="G66" s="55">
        <f>IF(Market_Data_Raw!B67&gt;Market_Data_Raw!B66,1,-1)</f>
        <v>1</v>
      </c>
    </row>
    <row r="67" spans="1:7" x14ac:dyDescent="0.3">
      <c r="A67" s="44">
        <f>Market_Data_Raw!A67</f>
        <v>45722</v>
      </c>
      <c r="B67" s="45">
        <f>Market_Data_Raw!B67</f>
        <v>22105.82</v>
      </c>
      <c r="C67" s="46">
        <f>LN(Market_Data_Raw!B67/Market_Data_Raw!B66)</f>
        <v>7.2063655693132582E-3</v>
      </c>
      <c r="D67" s="47" t="str">
        <f>IF(Market_Data_Raw!C67&gt;20,"High Risk","Stable")</f>
        <v>High Risk</v>
      </c>
      <c r="E67" s="48">
        <f>Market_Data_Raw!D67+Market_Data_Raw!E67</f>
        <v>564</v>
      </c>
      <c r="F67" s="49">
        <f>IF(Market_Data_Raw!F67&lt;0.8,-1,IF(Market_Data_Raw!F67&gt;1,1,0))</f>
        <v>-1</v>
      </c>
      <c r="G67" s="49">
        <f>IF(Market_Data_Raw!B68&gt;Market_Data_Raw!B67,1,-1)</f>
        <v>1</v>
      </c>
    </row>
    <row r="68" spans="1:7" x14ac:dyDescent="0.3">
      <c r="A68" s="50">
        <f>Market_Data_Raw!A68</f>
        <v>45723</v>
      </c>
      <c r="B68" s="51">
        <f>Market_Data_Raw!B68</f>
        <v>22368.84</v>
      </c>
      <c r="C68" s="52">
        <f>LN(Market_Data_Raw!B68/Market_Data_Raw!B67)</f>
        <v>1.1827996724458655E-2</v>
      </c>
      <c r="D68" s="53" t="str">
        <f>IF(Market_Data_Raw!C68&gt;20,"High Risk","Stable")</f>
        <v>High Risk</v>
      </c>
      <c r="E68" s="54">
        <f>Market_Data_Raw!D68+Market_Data_Raw!E68</f>
        <v>1725</v>
      </c>
      <c r="F68" s="55">
        <f>IF(Market_Data_Raw!F68&lt;0.8,-1,IF(Market_Data_Raw!F68&gt;1,1,0))</f>
        <v>0</v>
      </c>
      <c r="G68" s="55">
        <f>IF(Market_Data_Raw!B69&gt;Market_Data_Raw!B68,1,-1)</f>
        <v>-1</v>
      </c>
    </row>
    <row r="69" spans="1:7" x14ac:dyDescent="0.3">
      <c r="A69" s="44">
        <f>Market_Data_Raw!A69</f>
        <v>45724</v>
      </c>
      <c r="B69" s="45">
        <f>Market_Data_Raw!B69</f>
        <v>22361.86</v>
      </c>
      <c r="C69" s="46">
        <f>LN(Market_Data_Raw!B69/Market_Data_Raw!B68)</f>
        <v>-3.1208990946506986E-4</v>
      </c>
      <c r="D69" s="47" t="str">
        <f>IF(Market_Data_Raw!C69&gt;20,"High Risk","Stable")</f>
        <v>High Risk</v>
      </c>
      <c r="E69" s="48">
        <f>Market_Data_Raw!D69+Market_Data_Raw!E69</f>
        <v>-693</v>
      </c>
      <c r="F69" s="49">
        <f>IF(Market_Data_Raw!F69&lt;0.8,-1,IF(Market_Data_Raw!F69&gt;1,1,0))</f>
        <v>0</v>
      </c>
      <c r="G69" s="49">
        <f>IF(Market_Data_Raw!B70&gt;Market_Data_Raw!B69,1,-1)</f>
        <v>1</v>
      </c>
    </row>
    <row r="70" spans="1:7" x14ac:dyDescent="0.3">
      <c r="A70" s="50">
        <f>Market_Data_Raw!A70</f>
        <v>45725</v>
      </c>
      <c r="B70" s="51">
        <f>Market_Data_Raw!B70</f>
        <v>22560.19</v>
      </c>
      <c r="C70" s="52">
        <f>LN(Market_Data_Raw!B70/Market_Data_Raw!B69)</f>
        <v>8.8300194953261375E-3</v>
      </c>
      <c r="D70" s="53" t="str">
        <f>IF(Market_Data_Raw!C70&gt;20,"High Risk","Stable")</f>
        <v>High Risk</v>
      </c>
      <c r="E70" s="54">
        <f>Market_Data_Raw!D70+Market_Data_Raw!E70</f>
        <v>118</v>
      </c>
      <c r="F70" s="55">
        <f>IF(Market_Data_Raw!F70&lt;0.8,-1,IF(Market_Data_Raw!F70&gt;1,1,0))</f>
        <v>0</v>
      </c>
      <c r="G70" s="55">
        <f>IF(Market_Data_Raw!B71&gt;Market_Data_Raw!B70,1,-1)</f>
        <v>1</v>
      </c>
    </row>
    <row r="71" spans="1:7" x14ac:dyDescent="0.3">
      <c r="A71" s="44">
        <f>Market_Data_Raw!A71</f>
        <v>45726</v>
      </c>
      <c r="B71" s="45">
        <f>Market_Data_Raw!B71</f>
        <v>22636.43</v>
      </c>
      <c r="C71" s="46">
        <f>LN(Market_Data_Raw!B71/Market_Data_Raw!B70)</f>
        <v>3.373706808738297E-3</v>
      </c>
      <c r="D71" s="47" t="str">
        <f>IF(Market_Data_Raw!C71&gt;20,"High Risk","Stable")</f>
        <v>High Risk</v>
      </c>
      <c r="E71" s="48">
        <f>Market_Data_Raw!D71+Market_Data_Raw!E71</f>
        <v>487</v>
      </c>
      <c r="F71" s="49">
        <f>IF(Market_Data_Raw!F71&lt;0.8,-1,IF(Market_Data_Raw!F71&gt;1,1,0))</f>
        <v>1</v>
      </c>
      <c r="G71" s="49">
        <f>IF(Market_Data_Raw!B72&gt;Market_Data_Raw!B71,1,-1)</f>
        <v>-1</v>
      </c>
    </row>
    <row r="72" spans="1:7" x14ac:dyDescent="0.3">
      <c r="A72" s="50">
        <f>Market_Data_Raw!A72</f>
        <v>45727</v>
      </c>
      <c r="B72" s="51">
        <f>Market_Data_Raw!B72</f>
        <v>22519.4</v>
      </c>
      <c r="C72" s="52">
        <f>LN(Market_Data_Raw!B72/Market_Data_Raw!B71)</f>
        <v>-5.1833954564022826E-3</v>
      </c>
      <c r="D72" s="53" t="str">
        <f>IF(Market_Data_Raw!C72&gt;20,"High Risk","Stable")</f>
        <v>High Risk</v>
      </c>
      <c r="E72" s="54">
        <f>Market_Data_Raw!D72+Market_Data_Raw!E72</f>
        <v>-644</v>
      </c>
      <c r="F72" s="55">
        <f>IF(Market_Data_Raw!F72&lt;0.8,-1,IF(Market_Data_Raw!F72&gt;1,1,0))</f>
        <v>0</v>
      </c>
      <c r="G72" s="55">
        <f>IF(Market_Data_Raw!B73&gt;Market_Data_Raw!B72,1,-1)</f>
        <v>1</v>
      </c>
    </row>
    <row r="73" spans="1:7" x14ac:dyDescent="0.3">
      <c r="A73" s="44">
        <f>Market_Data_Raw!A73</f>
        <v>45728</v>
      </c>
      <c r="B73" s="45">
        <f>Market_Data_Raw!B73</f>
        <v>22595.46</v>
      </c>
      <c r="C73" s="46">
        <f>LN(Market_Data_Raw!B73/Market_Data_Raw!B72)</f>
        <v>3.3718412098576473E-3</v>
      </c>
      <c r="D73" s="47" t="str">
        <f>IF(Market_Data_Raw!C73&gt;20,"High Risk","Stable")</f>
        <v>High Risk</v>
      </c>
      <c r="E73" s="48">
        <f>Market_Data_Raw!D73+Market_Data_Raw!E73</f>
        <v>791</v>
      </c>
      <c r="F73" s="49">
        <f>IF(Market_Data_Raw!F73&lt;0.8,-1,IF(Market_Data_Raw!F73&gt;1,1,0))</f>
        <v>1</v>
      </c>
      <c r="G73" s="49">
        <f>IF(Market_Data_Raw!B74&gt;Market_Data_Raw!B73,1,-1)</f>
        <v>1</v>
      </c>
    </row>
    <row r="74" spans="1:7" x14ac:dyDescent="0.3">
      <c r="A74" s="50">
        <f>Market_Data_Raw!A74</f>
        <v>45729</v>
      </c>
      <c r="B74" s="51">
        <f>Market_Data_Raw!B74</f>
        <v>22899.67</v>
      </c>
      <c r="C74" s="52">
        <f>LN(Market_Data_Raw!B74/Market_Data_Raw!B73)</f>
        <v>1.3373498833609967E-2</v>
      </c>
      <c r="D74" s="53" t="str">
        <f>IF(Market_Data_Raw!C74&gt;20,"High Risk","Stable")</f>
        <v>High Risk</v>
      </c>
      <c r="E74" s="54">
        <f>Market_Data_Raw!D74+Market_Data_Raw!E74</f>
        <v>640</v>
      </c>
      <c r="F74" s="55">
        <f>IF(Market_Data_Raw!F74&lt;0.8,-1,IF(Market_Data_Raw!F74&gt;1,1,0))</f>
        <v>0</v>
      </c>
      <c r="G74" s="55">
        <f>IF(Market_Data_Raw!B75&gt;Market_Data_Raw!B74,1,-1)</f>
        <v>-1</v>
      </c>
    </row>
    <row r="75" spans="1:7" x14ac:dyDescent="0.3">
      <c r="A75" s="44">
        <f>Market_Data_Raw!A75</f>
        <v>45730</v>
      </c>
      <c r="B75" s="45">
        <f>Market_Data_Raw!B75</f>
        <v>22899.57</v>
      </c>
      <c r="C75" s="46">
        <f>LN(Market_Data_Raw!B75/Market_Data_Raw!B74)</f>
        <v>-4.3668846906416476E-6</v>
      </c>
      <c r="D75" s="47" t="str">
        <f>IF(Market_Data_Raw!C75&gt;20,"High Risk","Stable")</f>
        <v>High Risk</v>
      </c>
      <c r="E75" s="48">
        <f>Market_Data_Raw!D75+Market_Data_Raw!E75</f>
        <v>1457</v>
      </c>
      <c r="F75" s="49">
        <f>IF(Market_Data_Raw!F75&lt;0.8,-1,IF(Market_Data_Raw!F75&gt;1,1,0))</f>
        <v>1</v>
      </c>
      <c r="G75" s="49">
        <f>IF(Market_Data_Raw!B76&gt;Market_Data_Raw!B75,1,-1)</f>
        <v>1</v>
      </c>
    </row>
    <row r="76" spans="1:7" x14ac:dyDescent="0.3">
      <c r="A76" s="50">
        <f>Market_Data_Raw!A76</f>
        <v>45731</v>
      </c>
      <c r="B76" s="51">
        <f>Market_Data_Raw!B76</f>
        <v>23213.119999999999</v>
      </c>
      <c r="C76" s="52">
        <f>LN(Market_Data_Raw!B76/Market_Data_Raw!B75)</f>
        <v>1.3599502977706915E-2</v>
      </c>
      <c r="D76" s="53" t="str">
        <f>IF(Market_Data_Raw!C76&gt;20,"High Risk","Stable")</f>
        <v>High Risk</v>
      </c>
      <c r="E76" s="54">
        <f>Market_Data_Raw!D76+Market_Data_Raw!E76</f>
        <v>2161</v>
      </c>
      <c r="F76" s="55">
        <f>IF(Market_Data_Raw!F76&lt;0.8,-1,IF(Market_Data_Raw!F76&gt;1,1,0))</f>
        <v>0</v>
      </c>
      <c r="G76" s="55">
        <f>IF(Market_Data_Raw!B77&gt;Market_Data_Raw!B76,1,-1)</f>
        <v>-1</v>
      </c>
    </row>
    <row r="77" spans="1:7" x14ac:dyDescent="0.3">
      <c r="A77" s="44">
        <f>Market_Data_Raw!A77</f>
        <v>45732</v>
      </c>
      <c r="B77" s="45">
        <f>Market_Data_Raw!B77</f>
        <v>22708.74</v>
      </c>
      <c r="C77" s="46">
        <f>LN(Market_Data_Raw!B77/Market_Data_Raw!B76)</f>
        <v>-2.1967763657200507E-2</v>
      </c>
      <c r="D77" s="47" t="str">
        <f>IF(Market_Data_Raw!C77&gt;20,"High Risk","Stable")</f>
        <v>High Risk</v>
      </c>
      <c r="E77" s="48">
        <f>Market_Data_Raw!D77+Market_Data_Raw!E77</f>
        <v>-1191</v>
      </c>
      <c r="F77" s="49">
        <f>IF(Market_Data_Raw!F77&lt;0.8,-1,IF(Market_Data_Raw!F77&gt;1,1,0))</f>
        <v>0</v>
      </c>
      <c r="G77" s="49">
        <f>IF(Market_Data_Raw!B78&gt;Market_Data_Raw!B77,1,-1)</f>
        <v>1</v>
      </c>
    </row>
    <row r="78" spans="1:7" x14ac:dyDescent="0.3">
      <c r="A78" s="50">
        <f>Market_Data_Raw!A78</f>
        <v>45733</v>
      </c>
      <c r="B78" s="51">
        <f>Market_Data_Raw!B78</f>
        <v>22874.799999999999</v>
      </c>
      <c r="C78" s="52">
        <f>LN(Market_Data_Raw!B78/Market_Data_Raw!B77)</f>
        <v>7.2859955421359472E-3</v>
      </c>
      <c r="D78" s="53" t="str">
        <f>IF(Market_Data_Raw!C78&gt;20,"High Risk","Stable")</f>
        <v>High Risk</v>
      </c>
      <c r="E78" s="54">
        <f>Market_Data_Raw!D78+Market_Data_Raw!E78</f>
        <v>628</v>
      </c>
      <c r="F78" s="55">
        <f>IF(Market_Data_Raw!F78&lt;0.8,-1,IF(Market_Data_Raw!F78&gt;1,1,0))</f>
        <v>1</v>
      </c>
      <c r="G78" s="55">
        <f>IF(Market_Data_Raw!B79&gt;Market_Data_Raw!B78,1,-1)</f>
        <v>1</v>
      </c>
    </row>
    <row r="79" spans="1:7" x14ac:dyDescent="0.3">
      <c r="A79" s="44">
        <f>Market_Data_Raw!A79</f>
        <v>45734</v>
      </c>
      <c r="B79" s="45">
        <f>Market_Data_Raw!B79</f>
        <v>22898.6</v>
      </c>
      <c r="C79" s="46">
        <f>LN(Market_Data_Raw!B79/Market_Data_Raw!B78)</f>
        <v>1.0399053662075494E-3</v>
      </c>
      <c r="D79" s="47" t="str">
        <f>IF(Market_Data_Raw!C79&gt;20,"High Risk","Stable")</f>
        <v>Stable</v>
      </c>
      <c r="E79" s="48">
        <f>Market_Data_Raw!D79+Market_Data_Raw!E79</f>
        <v>251</v>
      </c>
      <c r="F79" s="49">
        <f>IF(Market_Data_Raw!F79&lt;0.8,-1,IF(Market_Data_Raw!F79&gt;1,1,0))</f>
        <v>0</v>
      </c>
      <c r="G79" s="49">
        <f>IF(Market_Data_Raw!B80&gt;Market_Data_Raw!B79,1,-1)</f>
        <v>-1</v>
      </c>
    </row>
    <row r="80" spans="1:7" x14ac:dyDescent="0.3">
      <c r="A80" s="50">
        <f>Market_Data_Raw!A80</f>
        <v>45735</v>
      </c>
      <c r="B80" s="51">
        <f>Market_Data_Raw!B80</f>
        <v>22847.33</v>
      </c>
      <c r="C80" s="52">
        <f>LN(Market_Data_Raw!B80/Market_Data_Raw!B79)</f>
        <v>-2.2415118226534782E-3</v>
      </c>
      <c r="D80" s="53" t="str">
        <f>IF(Market_Data_Raw!C80&gt;20,"High Risk","Stable")</f>
        <v>High Risk</v>
      </c>
      <c r="E80" s="54">
        <f>Market_Data_Raw!D80+Market_Data_Raw!E80</f>
        <v>951</v>
      </c>
      <c r="F80" s="55">
        <f>IF(Market_Data_Raw!F80&lt;0.8,-1,IF(Market_Data_Raw!F80&gt;1,1,0))</f>
        <v>-1</v>
      </c>
      <c r="G80" s="55">
        <f>IF(Market_Data_Raw!B81&gt;Market_Data_Raw!B80,1,-1)</f>
        <v>1</v>
      </c>
    </row>
    <row r="81" spans="1:7" x14ac:dyDescent="0.3">
      <c r="A81" s="44">
        <f>Market_Data_Raw!A81</f>
        <v>45736</v>
      </c>
      <c r="B81" s="45">
        <f>Market_Data_Raw!B81</f>
        <v>22872.02</v>
      </c>
      <c r="C81" s="46">
        <f>LN(Market_Data_Raw!B81/Market_Data_Raw!B80)</f>
        <v>1.0800679537292719E-3</v>
      </c>
      <c r="D81" s="47" t="str">
        <f>IF(Market_Data_Raw!C81&gt;20,"High Risk","Stable")</f>
        <v>High Risk</v>
      </c>
      <c r="E81" s="48">
        <f>Market_Data_Raw!D81+Market_Data_Raw!E81</f>
        <v>249</v>
      </c>
      <c r="F81" s="49">
        <f>IF(Market_Data_Raw!F81&lt;0.8,-1,IF(Market_Data_Raw!F81&gt;1,1,0))</f>
        <v>0</v>
      </c>
      <c r="G81" s="49">
        <f>IF(Market_Data_Raw!B82&gt;Market_Data_Raw!B81,1,-1)</f>
        <v>-1</v>
      </c>
    </row>
    <row r="82" spans="1:7" x14ac:dyDescent="0.3">
      <c r="A82" s="50">
        <f>Market_Data_Raw!A82</f>
        <v>45737</v>
      </c>
      <c r="B82" s="51">
        <f>Market_Data_Raw!B82</f>
        <v>22495.61</v>
      </c>
      <c r="C82" s="52">
        <f>LN(Market_Data_Raw!B82/Market_Data_Raw!B81)</f>
        <v>-1.6594150388633492E-2</v>
      </c>
      <c r="D82" s="53" t="str">
        <f>IF(Market_Data_Raw!C82&gt;20,"High Risk","Stable")</f>
        <v>High Risk</v>
      </c>
      <c r="E82" s="54">
        <f>Market_Data_Raw!D82+Market_Data_Raw!E82</f>
        <v>-1357</v>
      </c>
      <c r="F82" s="55">
        <f>IF(Market_Data_Raw!F82&lt;0.8,-1,IF(Market_Data_Raw!F82&gt;1,1,0))</f>
        <v>1</v>
      </c>
      <c r="G82" s="55">
        <f>IF(Market_Data_Raw!B83&gt;Market_Data_Raw!B82,1,-1)</f>
        <v>-1</v>
      </c>
    </row>
    <row r="83" spans="1:7" x14ac:dyDescent="0.3">
      <c r="A83" s="44">
        <f>Market_Data_Raw!A83</f>
        <v>45738</v>
      </c>
      <c r="B83" s="45">
        <f>Market_Data_Raw!B83</f>
        <v>22460.38</v>
      </c>
      <c r="C83" s="46">
        <f>LN(Market_Data_Raw!B83/Market_Data_Raw!B82)</f>
        <v>-1.567310928388759E-3</v>
      </c>
      <c r="D83" s="47" t="str">
        <f>IF(Market_Data_Raw!C83&gt;20,"High Risk","Stable")</f>
        <v>High Risk</v>
      </c>
      <c r="E83" s="48">
        <f>Market_Data_Raw!D83+Market_Data_Raw!E83</f>
        <v>356</v>
      </c>
      <c r="F83" s="49">
        <f>IF(Market_Data_Raw!F83&lt;0.8,-1,IF(Market_Data_Raw!F83&gt;1,1,0))</f>
        <v>1</v>
      </c>
      <c r="G83" s="49">
        <f>IF(Market_Data_Raw!B84&gt;Market_Data_Raw!B83,1,-1)</f>
        <v>1</v>
      </c>
    </row>
    <row r="84" spans="1:7" x14ac:dyDescent="0.3">
      <c r="A84" s="50">
        <f>Market_Data_Raw!A84</f>
        <v>45739</v>
      </c>
      <c r="B84" s="51">
        <f>Market_Data_Raw!B84</f>
        <v>22535.42</v>
      </c>
      <c r="C84" s="52">
        <f>LN(Market_Data_Raw!B84/Market_Data_Raw!B83)</f>
        <v>3.3354255094347443E-3</v>
      </c>
      <c r="D84" s="53" t="str">
        <f>IF(Market_Data_Raw!C84&gt;20,"High Risk","Stable")</f>
        <v>High Risk</v>
      </c>
      <c r="E84" s="54">
        <f>Market_Data_Raw!D84+Market_Data_Raw!E84</f>
        <v>-188</v>
      </c>
      <c r="F84" s="55">
        <f>IF(Market_Data_Raw!F84&lt;0.8,-1,IF(Market_Data_Raw!F84&gt;1,1,0))</f>
        <v>0</v>
      </c>
      <c r="G84" s="55">
        <f>IF(Market_Data_Raw!B85&gt;Market_Data_Raw!B84,1,-1)</f>
        <v>1</v>
      </c>
    </row>
    <row r="85" spans="1:7" x14ac:dyDescent="0.3">
      <c r="A85" s="44">
        <f>Market_Data_Raw!A85</f>
        <v>45740</v>
      </c>
      <c r="B85" s="45">
        <f>Market_Data_Raw!B85</f>
        <v>22827.14</v>
      </c>
      <c r="C85" s="46">
        <f>LN(Market_Data_Raw!B85/Market_Data_Raw!B84)</f>
        <v>1.2861885288037479E-2</v>
      </c>
      <c r="D85" s="47" t="str">
        <f>IF(Market_Data_Raw!C85&gt;20,"High Risk","Stable")</f>
        <v>High Risk</v>
      </c>
      <c r="E85" s="48">
        <f>Market_Data_Raw!D85+Market_Data_Raw!E85</f>
        <v>269</v>
      </c>
      <c r="F85" s="49">
        <f>IF(Market_Data_Raw!F85&lt;0.8,-1,IF(Market_Data_Raw!F85&gt;1,1,0))</f>
        <v>0</v>
      </c>
      <c r="G85" s="49">
        <f>IF(Market_Data_Raw!B86&gt;Market_Data_Raw!B85,1,-1)</f>
        <v>-1</v>
      </c>
    </row>
    <row r="86" spans="1:7" x14ac:dyDescent="0.3">
      <c r="A86" s="50">
        <f>Market_Data_Raw!A86</f>
        <v>45741</v>
      </c>
      <c r="B86" s="51">
        <f>Market_Data_Raw!B86</f>
        <v>22733.62</v>
      </c>
      <c r="C86" s="52">
        <f>LN(Market_Data_Raw!B86/Market_Data_Raw!B85)</f>
        <v>-4.105292859221692E-3</v>
      </c>
      <c r="D86" s="53" t="str">
        <f>IF(Market_Data_Raw!C86&gt;20,"High Risk","Stable")</f>
        <v>High Risk</v>
      </c>
      <c r="E86" s="54">
        <f>Market_Data_Raw!D86+Market_Data_Raw!E86</f>
        <v>-306</v>
      </c>
      <c r="F86" s="55">
        <f>IF(Market_Data_Raw!F86&lt;0.8,-1,IF(Market_Data_Raw!F86&gt;1,1,0))</f>
        <v>0</v>
      </c>
      <c r="G86" s="55">
        <f>IF(Market_Data_Raw!B87&gt;Market_Data_Raw!B86,1,-1)</f>
        <v>-1</v>
      </c>
    </row>
    <row r="87" spans="1:7" x14ac:dyDescent="0.3">
      <c r="A87" s="44">
        <f>Market_Data_Raw!A87</f>
        <v>45742</v>
      </c>
      <c r="B87" s="45">
        <f>Market_Data_Raw!B87</f>
        <v>22584.7</v>
      </c>
      <c r="C87" s="46">
        <f>LN(Market_Data_Raw!B87/Market_Data_Raw!B86)</f>
        <v>-6.5722002066653509E-3</v>
      </c>
      <c r="D87" s="47" t="str">
        <f>IF(Market_Data_Raw!C87&gt;20,"High Risk","Stable")</f>
        <v>Stable</v>
      </c>
      <c r="E87" s="48">
        <f>Market_Data_Raw!D87+Market_Data_Raw!E87</f>
        <v>225</v>
      </c>
      <c r="F87" s="49">
        <f>IF(Market_Data_Raw!F87&lt;0.8,-1,IF(Market_Data_Raw!F87&gt;1,1,0))</f>
        <v>1</v>
      </c>
      <c r="G87" s="49">
        <f>IF(Market_Data_Raw!B88&gt;Market_Data_Raw!B87,1,-1)</f>
        <v>-1</v>
      </c>
    </row>
    <row r="88" spans="1:7" x14ac:dyDescent="0.3">
      <c r="A88" s="50">
        <f>Market_Data_Raw!A88</f>
        <v>45743</v>
      </c>
      <c r="B88" s="51">
        <f>Market_Data_Raw!B88</f>
        <v>22495.33</v>
      </c>
      <c r="C88" s="52">
        <f>LN(Market_Data_Raw!B88/Market_Data_Raw!B87)</f>
        <v>-3.9649537536270915E-3</v>
      </c>
      <c r="D88" s="53" t="str">
        <f>IF(Market_Data_Raw!C88&gt;20,"High Risk","Stable")</f>
        <v>High Risk</v>
      </c>
      <c r="E88" s="54">
        <f>Market_Data_Raw!D88+Market_Data_Raw!E88</f>
        <v>37</v>
      </c>
      <c r="F88" s="55">
        <f>IF(Market_Data_Raw!F88&lt;0.8,-1,IF(Market_Data_Raw!F88&gt;1,1,0))</f>
        <v>0</v>
      </c>
      <c r="G88" s="55">
        <f>IF(Market_Data_Raw!B89&gt;Market_Data_Raw!B88,1,-1)</f>
        <v>1</v>
      </c>
    </row>
    <row r="89" spans="1:7" x14ac:dyDescent="0.3">
      <c r="A89" s="44">
        <f>Market_Data_Raw!A89</f>
        <v>45744</v>
      </c>
      <c r="B89" s="45">
        <f>Market_Data_Raw!B89</f>
        <v>22677.85</v>
      </c>
      <c r="C89" s="46">
        <f>LN(Market_Data_Raw!B89/Market_Data_Raw!B88)</f>
        <v>8.0809450757006324E-3</v>
      </c>
      <c r="D89" s="47" t="str">
        <f>IF(Market_Data_Raw!C89&gt;20,"High Risk","Stable")</f>
        <v>High Risk</v>
      </c>
      <c r="E89" s="48">
        <f>Market_Data_Raw!D89+Market_Data_Raw!E89</f>
        <v>817</v>
      </c>
      <c r="F89" s="49">
        <f>IF(Market_Data_Raw!F89&lt;0.8,-1,IF(Market_Data_Raw!F89&gt;1,1,0))</f>
        <v>0</v>
      </c>
      <c r="G89" s="49">
        <f>IF(Market_Data_Raw!B90&gt;Market_Data_Raw!B89,1,-1)</f>
        <v>1</v>
      </c>
    </row>
    <row r="90" spans="1:7" x14ac:dyDescent="0.3">
      <c r="A90" s="50">
        <f>Market_Data_Raw!A90</f>
        <v>45745</v>
      </c>
      <c r="B90" s="51">
        <f>Market_Data_Raw!B90</f>
        <v>22748.13</v>
      </c>
      <c r="C90" s="52">
        <f>LN(Market_Data_Raw!B90/Market_Data_Raw!B89)</f>
        <v>3.0942670284529908E-3</v>
      </c>
      <c r="D90" s="53" t="str">
        <f>IF(Market_Data_Raw!C90&gt;20,"High Risk","Stable")</f>
        <v>Stable</v>
      </c>
      <c r="E90" s="54">
        <f>Market_Data_Raw!D90+Market_Data_Raw!E90</f>
        <v>984</v>
      </c>
      <c r="F90" s="55">
        <f>IF(Market_Data_Raw!F90&lt;0.8,-1,IF(Market_Data_Raw!F90&gt;1,1,0))</f>
        <v>1</v>
      </c>
      <c r="G90" s="55">
        <f>IF(Market_Data_Raw!B91&gt;Market_Data_Raw!B90,1,-1)</f>
        <v>-1</v>
      </c>
    </row>
    <row r="91" spans="1:7" x14ac:dyDescent="0.3">
      <c r="A91" s="44">
        <f>Market_Data_Raw!A91</f>
        <v>45746</v>
      </c>
      <c r="B91" s="45">
        <f>Market_Data_Raw!B91</f>
        <v>22652.720000000001</v>
      </c>
      <c r="C91" s="46">
        <f>LN(Market_Data_Raw!B91/Market_Data_Raw!B90)</f>
        <v>-4.2030111970960517E-3</v>
      </c>
      <c r="D91" s="47" t="str">
        <f>IF(Market_Data_Raw!C91&gt;20,"High Risk","Stable")</f>
        <v>Stable</v>
      </c>
      <c r="E91" s="48">
        <f>Market_Data_Raw!D91+Market_Data_Raw!E91</f>
        <v>-797</v>
      </c>
      <c r="F91" s="49">
        <f>IF(Market_Data_Raw!F91&lt;0.8,-1,IF(Market_Data_Raw!F91&gt;1,1,0))</f>
        <v>0</v>
      </c>
      <c r="G91" s="49">
        <f>IF(Market_Data_Raw!B92&gt;Market_Data_Raw!B91,1,-1)</f>
        <v>1</v>
      </c>
    </row>
    <row r="92" spans="1:7" x14ac:dyDescent="0.3">
      <c r="A92" s="50">
        <f>Market_Data_Raw!A92</f>
        <v>45747</v>
      </c>
      <c r="B92" s="51">
        <f>Market_Data_Raw!B92</f>
        <v>22758.59</v>
      </c>
      <c r="C92" s="52">
        <f>LN(Market_Data_Raw!B92/Market_Data_Raw!B91)</f>
        <v>4.6627235289983301E-3</v>
      </c>
      <c r="D92" s="53" t="str">
        <f>IF(Market_Data_Raw!C92&gt;20,"High Risk","Stable")</f>
        <v>Stable</v>
      </c>
      <c r="E92" s="54">
        <f>Market_Data_Raw!D92+Market_Data_Raw!E92</f>
        <v>1208</v>
      </c>
      <c r="F92" s="55">
        <f>IF(Market_Data_Raw!F92&lt;0.8,-1,IF(Market_Data_Raw!F92&gt;1,1,0))</f>
        <v>0</v>
      </c>
      <c r="G92" s="55">
        <f>IF(Market_Data_Raw!B93&gt;Market_Data_Raw!B92,1,-1)</f>
        <v>1</v>
      </c>
    </row>
    <row r="93" spans="1:7" x14ac:dyDescent="0.3">
      <c r="A93" s="44">
        <f>Market_Data_Raw!A93</f>
        <v>45748</v>
      </c>
      <c r="B93" s="45">
        <f>Market_Data_Raw!B93</f>
        <v>22784.21</v>
      </c>
      <c r="C93" s="46">
        <f>LN(Market_Data_Raw!B93/Market_Data_Raw!B92)</f>
        <v>1.1250956332313942E-3</v>
      </c>
      <c r="D93" s="47" t="str">
        <f>IF(Market_Data_Raw!C93&gt;20,"High Risk","Stable")</f>
        <v>Stable</v>
      </c>
      <c r="E93" s="48">
        <f>Market_Data_Raw!D93+Market_Data_Raw!E93</f>
        <v>-131</v>
      </c>
      <c r="F93" s="49">
        <f>IF(Market_Data_Raw!F93&lt;0.8,-1,IF(Market_Data_Raw!F93&gt;1,1,0))</f>
        <v>0</v>
      </c>
      <c r="G93" s="49">
        <f>IF(Market_Data_Raw!B94&gt;Market_Data_Raw!B93,1,-1)</f>
        <v>1</v>
      </c>
    </row>
    <row r="94" spans="1:7" x14ac:dyDescent="0.3">
      <c r="A94" s="50">
        <f>Market_Data_Raw!A94</f>
        <v>45749</v>
      </c>
      <c r="B94" s="51">
        <f>Market_Data_Raw!B94</f>
        <v>22979.47</v>
      </c>
      <c r="C94" s="52">
        <f>LN(Market_Data_Raw!B94/Market_Data_Raw!B93)</f>
        <v>8.5334564396637967E-3</v>
      </c>
      <c r="D94" s="53" t="str">
        <f>IF(Market_Data_Raw!C94&gt;20,"High Risk","Stable")</f>
        <v>Stable</v>
      </c>
      <c r="E94" s="54">
        <f>Market_Data_Raw!D94+Market_Data_Raw!E94</f>
        <v>641</v>
      </c>
      <c r="F94" s="55">
        <f>IF(Market_Data_Raw!F94&lt;0.8,-1,IF(Market_Data_Raw!F94&gt;1,1,0))</f>
        <v>0</v>
      </c>
      <c r="G94" s="55">
        <f>IF(Market_Data_Raw!B95&gt;Market_Data_Raw!B94,1,-1)</f>
        <v>-1</v>
      </c>
    </row>
    <row r="95" spans="1:7" x14ac:dyDescent="0.3">
      <c r="A95" s="44">
        <f>Market_Data_Raw!A95</f>
        <v>45750</v>
      </c>
      <c r="B95" s="45">
        <f>Market_Data_Raw!B95</f>
        <v>22849.599999999999</v>
      </c>
      <c r="C95" s="46">
        <f>LN(Market_Data_Raw!B95/Market_Data_Raw!B94)</f>
        <v>-5.6675969046032799E-3</v>
      </c>
      <c r="D95" s="47" t="str">
        <f>IF(Market_Data_Raw!C95&gt;20,"High Risk","Stable")</f>
        <v>Stable</v>
      </c>
      <c r="E95" s="48">
        <f>Market_Data_Raw!D95+Market_Data_Raw!E95</f>
        <v>86</v>
      </c>
      <c r="F95" s="49">
        <f>IF(Market_Data_Raw!F95&lt;0.8,-1,IF(Market_Data_Raw!F95&gt;1,1,0))</f>
        <v>0</v>
      </c>
      <c r="G95" s="49">
        <f>IF(Market_Data_Raw!B96&gt;Market_Data_Raw!B95,1,-1)</f>
        <v>-1</v>
      </c>
    </row>
    <row r="96" spans="1:7" x14ac:dyDescent="0.3">
      <c r="A96" s="50">
        <f>Market_Data_Raw!A96</f>
        <v>45751</v>
      </c>
      <c r="B96" s="51">
        <f>Market_Data_Raw!B96</f>
        <v>22792.89</v>
      </c>
      <c r="C96" s="52">
        <f>LN(Market_Data_Raw!B96/Market_Data_Raw!B95)</f>
        <v>-2.484966494259807E-3</v>
      </c>
      <c r="D96" s="53" t="str">
        <f>IF(Market_Data_Raw!C96&gt;20,"High Risk","Stable")</f>
        <v>Stable</v>
      </c>
      <c r="E96" s="54">
        <f>Market_Data_Raw!D96+Market_Data_Raw!E96</f>
        <v>-332</v>
      </c>
      <c r="F96" s="55">
        <f>IF(Market_Data_Raw!F96&lt;0.8,-1,IF(Market_Data_Raw!F96&gt;1,1,0))</f>
        <v>0</v>
      </c>
      <c r="G96" s="55">
        <f>IF(Market_Data_Raw!B97&gt;Market_Data_Raw!B96,1,-1)</f>
        <v>-1</v>
      </c>
    </row>
    <row r="97" spans="1:7" x14ac:dyDescent="0.3">
      <c r="A97" s="44">
        <f>Market_Data_Raw!A97</f>
        <v>45752</v>
      </c>
      <c r="B97" s="45">
        <f>Market_Data_Raw!B97</f>
        <v>22723.87</v>
      </c>
      <c r="C97" s="46">
        <f>LN(Market_Data_Raw!B97/Market_Data_Raw!B96)</f>
        <v>-3.0327313675539793E-3</v>
      </c>
      <c r="D97" s="47" t="str">
        <f>IF(Market_Data_Raw!C97&gt;20,"High Risk","Stable")</f>
        <v>Stable</v>
      </c>
      <c r="E97" s="48">
        <f>Market_Data_Raw!D97+Market_Data_Raw!E97</f>
        <v>344</v>
      </c>
      <c r="F97" s="49">
        <f>IF(Market_Data_Raw!F97&lt;0.8,-1,IF(Market_Data_Raw!F97&gt;1,1,0))</f>
        <v>0</v>
      </c>
      <c r="G97" s="49">
        <f>IF(Market_Data_Raw!B98&gt;Market_Data_Raw!B97,1,-1)</f>
        <v>-1</v>
      </c>
    </row>
    <row r="98" spans="1:7" x14ac:dyDescent="0.3">
      <c r="A98" s="50">
        <f>Market_Data_Raw!A98</f>
        <v>45753</v>
      </c>
      <c r="B98" s="51">
        <f>Market_Data_Raw!B98</f>
        <v>22449.67</v>
      </c>
      <c r="C98" s="52">
        <f>LN(Market_Data_Raw!B98/Market_Data_Raw!B97)</f>
        <v>-1.2139999106339387E-2</v>
      </c>
      <c r="D98" s="53" t="str">
        <f>IF(Market_Data_Raw!C98&gt;20,"High Risk","Stable")</f>
        <v>Stable</v>
      </c>
      <c r="E98" s="54">
        <f>Market_Data_Raw!D98+Market_Data_Raw!E98</f>
        <v>-3</v>
      </c>
      <c r="F98" s="55">
        <f>IF(Market_Data_Raw!F98&lt;0.8,-1,IF(Market_Data_Raw!F98&gt;1,1,0))</f>
        <v>0</v>
      </c>
      <c r="G98" s="55">
        <f>IF(Market_Data_Raw!B99&gt;Market_Data_Raw!B98,1,-1)</f>
        <v>1</v>
      </c>
    </row>
    <row r="99" spans="1:7" x14ac:dyDescent="0.3">
      <c r="A99" s="44">
        <f>Market_Data_Raw!A99</f>
        <v>45754</v>
      </c>
      <c r="B99" s="45">
        <f>Market_Data_Raw!B99</f>
        <v>22513</v>
      </c>
      <c r="C99" s="46">
        <f>LN(Market_Data_Raw!B99/Market_Data_Raw!B98)</f>
        <v>2.8170053904583939E-3</v>
      </c>
      <c r="D99" s="47" t="str">
        <f>IF(Market_Data_Raw!C99&gt;20,"High Risk","Stable")</f>
        <v>Stable</v>
      </c>
      <c r="E99" s="48">
        <f>Market_Data_Raw!D99+Market_Data_Raw!E99</f>
        <v>424</v>
      </c>
      <c r="F99" s="49">
        <f>IF(Market_Data_Raw!F99&lt;0.8,-1,IF(Market_Data_Raw!F99&gt;1,1,0))</f>
        <v>0</v>
      </c>
      <c r="G99" s="49">
        <f>IF(Market_Data_Raw!B100&gt;Market_Data_Raw!B99,1,-1)</f>
        <v>1</v>
      </c>
    </row>
    <row r="100" spans="1:7" x14ac:dyDescent="0.3">
      <c r="A100" s="50">
        <f>Market_Data_Raw!A100</f>
        <v>45755</v>
      </c>
      <c r="B100" s="51">
        <f>Market_Data_Raw!B100</f>
        <v>22569.78</v>
      </c>
      <c r="C100" s="52">
        <f>LN(Market_Data_Raw!B100/Market_Data_Raw!B99)</f>
        <v>2.5189231907304459E-3</v>
      </c>
      <c r="D100" s="53" t="str">
        <f>IF(Market_Data_Raw!C100&gt;20,"High Risk","Stable")</f>
        <v>Stable</v>
      </c>
      <c r="E100" s="54">
        <f>Market_Data_Raw!D100+Market_Data_Raw!E100</f>
        <v>386</v>
      </c>
      <c r="F100" s="55">
        <f>IF(Market_Data_Raw!F100&lt;0.8,-1,IF(Market_Data_Raw!F100&gt;1,1,0))</f>
        <v>0</v>
      </c>
      <c r="G100" s="55">
        <f>IF(Market_Data_Raw!B101&gt;Market_Data_Raw!B100,1,-1)</f>
        <v>1</v>
      </c>
    </row>
    <row r="101" spans="1:7" x14ac:dyDescent="0.3">
      <c r="A101" s="44">
        <f>Market_Data_Raw!A101</f>
        <v>45756</v>
      </c>
      <c r="B101" s="45">
        <f>Market_Data_Raw!B101</f>
        <v>22577.53</v>
      </c>
      <c r="C101" s="46">
        <f>LN(Market_Data_Raw!B101/Market_Data_Raw!B100)</f>
        <v>3.4332056887219315E-4</v>
      </c>
      <c r="D101" s="47" t="str">
        <f>IF(Market_Data_Raw!C101&gt;20,"High Risk","Stable")</f>
        <v>Stable</v>
      </c>
      <c r="E101" s="48">
        <f>Market_Data_Raw!D101+Market_Data_Raw!E101</f>
        <v>1122</v>
      </c>
      <c r="F101" s="49">
        <f>IF(Market_Data_Raw!F101&lt;0.8,-1,IF(Market_Data_Raw!F101&gt;1,1,0))</f>
        <v>-1</v>
      </c>
      <c r="G101" s="49">
        <f>IF(Market_Data_Raw!B102&gt;Market_Data_Raw!B101,1,-1)</f>
        <v>-1</v>
      </c>
    </row>
    <row r="102" spans="1:7" x14ac:dyDescent="0.3">
      <c r="A102" s="50">
        <f>Market_Data_Raw!A102</f>
        <v>45757</v>
      </c>
      <c r="B102" s="51">
        <f>Market_Data_Raw!B102</f>
        <v>22539.32</v>
      </c>
      <c r="C102" s="52">
        <f>LN(Market_Data_Raw!B102/Market_Data_Raw!B101)</f>
        <v>-1.6938243310648737E-3</v>
      </c>
      <c r="D102" s="53" t="str">
        <f>IF(Market_Data_Raw!C102&gt;20,"High Risk","Stable")</f>
        <v>Stable</v>
      </c>
      <c r="E102" s="54">
        <f>Market_Data_Raw!D102+Market_Data_Raw!E102</f>
        <v>-353</v>
      </c>
      <c r="F102" s="55">
        <f>IF(Market_Data_Raw!F102&lt;0.8,-1,IF(Market_Data_Raw!F102&gt;1,1,0))</f>
        <v>0</v>
      </c>
      <c r="G102" s="55">
        <f>IF(Market_Data_Raw!B103&gt;Market_Data_Raw!B102,1,-1)</f>
        <v>-1</v>
      </c>
    </row>
    <row r="103" spans="1:7" x14ac:dyDescent="0.3">
      <c r="A103" s="44">
        <f>Market_Data_Raw!A103</f>
        <v>45758</v>
      </c>
      <c r="B103" s="45">
        <f>Market_Data_Raw!B103</f>
        <v>22276.46</v>
      </c>
      <c r="C103" s="46">
        <f>LN(Market_Data_Raw!B103/Market_Data_Raw!B102)</f>
        <v>-1.1730824026226274E-2</v>
      </c>
      <c r="D103" s="47" t="str">
        <f>IF(Market_Data_Raw!C103&gt;20,"High Risk","Stable")</f>
        <v>Stable</v>
      </c>
      <c r="E103" s="48">
        <f>Market_Data_Raw!D103+Market_Data_Raw!E103</f>
        <v>-548</v>
      </c>
      <c r="F103" s="49">
        <f>IF(Market_Data_Raw!F103&lt;0.8,-1,IF(Market_Data_Raw!F103&gt;1,1,0))</f>
        <v>0</v>
      </c>
      <c r="G103" s="49">
        <f>IF(Market_Data_Raw!B104&gt;Market_Data_Raw!B103,1,-1)</f>
        <v>-1</v>
      </c>
    </row>
    <row r="104" spans="1:7" x14ac:dyDescent="0.3">
      <c r="A104" s="50">
        <f>Market_Data_Raw!A104</f>
        <v>45759</v>
      </c>
      <c r="B104" s="51">
        <f>Market_Data_Raw!B104</f>
        <v>22203.61</v>
      </c>
      <c r="C104" s="52">
        <f>LN(Market_Data_Raw!B104/Market_Data_Raw!B103)</f>
        <v>-3.2756272702994284E-3</v>
      </c>
      <c r="D104" s="53" t="str">
        <f>IF(Market_Data_Raw!C104&gt;20,"High Risk","Stable")</f>
        <v>Stable</v>
      </c>
      <c r="E104" s="54">
        <f>Market_Data_Raw!D104+Market_Data_Raw!E104</f>
        <v>-31</v>
      </c>
      <c r="F104" s="55">
        <f>IF(Market_Data_Raw!F104&lt;0.8,-1,IF(Market_Data_Raw!F104&gt;1,1,0))</f>
        <v>0</v>
      </c>
      <c r="G104" s="55">
        <f>IF(Market_Data_Raw!B105&gt;Market_Data_Raw!B104,1,-1)</f>
        <v>-1</v>
      </c>
    </row>
    <row r="105" spans="1:7" x14ac:dyDescent="0.3">
      <c r="A105" s="44">
        <f>Market_Data_Raw!A105</f>
        <v>45760</v>
      </c>
      <c r="B105" s="45">
        <f>Market_Data_Raw!B105</f>
        <v>22145.67</v>
      </c>
      <c r="C105" s="46">
        <f>LN(Market_Data_Raw!B105/Market_Data_Raw!B104)</f>
        <v>-2.6128962167649276E-3</v>
      </c>
      <c r="D105" s="47" t="str">
        <f>IF(Market_Data_Raw!C105&gt;20,"High Risk","Stable")</f>
        <v>Stable</v>
      </c>
      <c r="E105" s="48">
        <f>Market_Data_Raw!D105+Market_Data_Raw!E105</f>
        <v>-517</v>
      </c>
      <c r="F105" s="49">
        <f>IF(Market_Data_Raw!F105&lt;0.8,-1,IF(Market_Data_Raw!F105&gt;1,1,0))</f>
        <v>-1</v>
      </c>
      <c r="G105" s="49">
        <f>IF(Market_Data_Raw!B106&gt;Market_Data_Raw!B105,1,-1)</f>
        <v>-1</v>
      </c>
    </row>
    <row r="106" spans="1:7" x14ac:dyDescent="0.3">
      <c r="A106" s="50">
        <f>Market_Data_Raw!A106</f>
        <v>45761</v>
      </c>
      <c r="B106" s="51">
        <f>Market_Data_Raw!B106</f>
        <v>22001.759999999998</v>
      </c>
      <c r="C106" s="52">
        <f>LN(Market_Data_Raw!B106/Market_Data_Raw!B105)</f>
        <v>-6.5195418955973005E-3</v>
      </c>
      <c r="D106" s="53" t="str">
        <f>IF(Market_Data_Raw!C106&gt;20,"High Risk","Stable")</f>
        <v>Stable</v>
      </c>
      <c r="E106" s="54">
        <f>Market_Data_Raw!D106+Market_Data_Raw!E106</f>
        <v>-169</v>
      </c>
      <c r="F106" s="55">
        <f>IF(Market_Data_Raw!F106&lt;0.8,-1,IF(Market_Data_Raw!F106&gt;1,1,0))</f>
        <v>1</v>
      </c>
      <c r="G106" s="55">
        <f>IF(Market_Data_Raw!B107&gt;Market_Data_Raw!B106,1,-1)</f>
        <v>-1</v>
      </c>
    </row>
    <row r="107" spans="1:7" x14ac:dyDescent="0.3">
      <c r="A107" s="44">
        <f>Market_Data_Raw!A107</f>
        <v>45762</v>
      </c>
      <c r="B107" s="45">
        <f>Market_Data_Raw!B107</f>
        <v>21978.21</v>
      </c>
      <c r="C107" s="46">
        <f>LN(Market_Data_Raw!B107/Market_Data_Raw!B106)</f>
        <v>-1.0709421698479786E-3</v>
      </c>
      <c r="D107" s="47" t="str">
        <f>IF(Market_Data_Raw!C107&gt;20,"High Risk","Stable")</f>
        <v>Stable</v>
      </c>
      <c r="E107" s="48">
        <f>Market_Data_Raw!D107+Market_Data_Raw!E107</f>
        <v>1187</v>
      </c>
      <c r="F107" s="49">
        <f>IF(Market_Data_Raw!F107&lt;0.8,-1,IF(Market_Data_Raw!F107&gt;1,1,0))</f>
        <v>0</v>
      </c>
      <c r="G107" s="49">
        <f>IF(Market_Data_Raw!B108&gt;Market_Data_Raw!B107,1,-1)</f>
        <v>1</v>
      </c>
    </row>
    <row r="108" spans="1:7" x14ac:dyDescent="0.3">
      <c r="A108" s="50">
        <f>Market_Data_Raw!A108</f>
        <v>45763</v>
      </c>
      <c r="B108" s="51">
        <f>Market_Data_Raw!B108</f>
        <v>22060.44</v>
      </c>
      <c r="C108" s="52">
        <f>LN(Market_Data_Raw!B108/Market_Data_Raw!B107)</f>
        <v>3.7344512407080895E-3</v>
      </c>
      <c r="D108" s="53" t="str">
        <f>IF(Market_Data_Raw!C108&gt;20,"High Risk","Stable")</f>
        <v>Stable</v>
      </c>
      <c r="E108" s="54">
        <f>Market_Data_Raw!D108+Market_Data_Raw!E108</f>
        <v>1240</v>
      </c>
      <c r="F108" s="55">
        <f>IF(Market_Data_Raw!F108&lt;0.8,-1,IF(Market_Data_Raw!F108&gt;1,1,0))</f>
        <v>1</v>
      </c>
      <c r="G108" s="55">
        <f>IF(Market_Data_Raw!B109&gt;Market_Data_Raw!B108,1,-1)</f>
        <v>1</v>
      </c>
    </row>
    <row r="109" spans="1:7" x14ac:dyDescent="0.3">
      <c r="A109" s="44">
        <f>Market_Data_Raw!A109</f>
        <v>45764</v>
      </c>
      <c r="B109" s="45">
        <f>Market_Data_Raw!B109</f>
        <v>22423.7</v>
      </c>
      <c r="C109" s="46">
        <f>LN(Market_Data_Raw!B109/Market_Data_Raw!B108)</f>
        <v>1.6332476020636259E-2</v>
      </c>
      <c r="D109" s="47" t="str">
        <f>IF(Market_Data_Raw!C109&gt;20,"High Risk","Stable")</f>
        <v>Stable</v>
      </c>
      <c r="E109" s="48">
        <f>Market_Data_Raw!D109+Market_Data_Raw!E109</f>
        <v>1379</v>
      </c>
      <c r="F109" s="49">
        <f>IF(Market_Data_Raw!F109&lt;0.8,-1,IF(Market_Data_Raw!F109&gt;1,1,0))</f>
        <v>-1</v>
      </c>
      <c r="G109" s="49">
        <f>IF(Market_Data_Raw!B110&gt;Market_Data_Raw!B109,1,-1)</f>
        <v>1</v>
      </c>
    </row>
    <row r="110" spans="1:7" x14ac:dyDescent="0.3">
      <c r="A110" s="50">
        <f>Market_Data_Raw!A110</f>
        <v>45765</v>
      </c>
      <c r="B110" s="51">
        <f>Market_Data_Raw!B110</f>
        <v>22463.74</v>
      </c>
      <c r="C110" s="52">
        <f>LN(Market_Data_Raw!B110/Market_Data_Raw!B109)</f>
        <v>1.7840184523635304E-3</v>
      </c>
      <c r="D110" s="53" t="str">
        <f>IF(Market_Data_Raw!C110&gt;20,"High Risk","Stable")</f>
        <v>Stable</v>
      </c>
      <c r="E110" s="54">
        <f>Market_Data_Raw!D110+Market_Data_Raw!E110</f>
        <v>-379</v>
      </c>
      <c r="F110" s="55">
        <f>IF(Market_Data_Raw!F110&lt;0.8,-1,IF(Market_Data_Raw!F110&gt;1,1,0))</f>
        <v>0</v>
      </c>
      <c r="G110" s="55">
        <f>IF(Market_Data_Raw!B111&gt;Market_Data_Raw!B110,1,-1)</f>
        <v>1</v>
      </c>
    </row>
    <row r="111" spans="1:7" x14ac:dyDescent="0.3">
      <c r="A111" s="44">
        <f>Market_Data_Raw!A111</f>
        <v>45766</v>
      </c>
      <c r="B111" s="45">
        <f>Market_Data_Raw!B111</f>
        <v>22519.73</v>
      </c>
      <c r="C111" s="46">
        <f>LN(Market_Data_Raw!B111/Market_Data_Raw!B110)</f>
        <v>2.4893601544639728E-3</v>
      </c>
      <c r="D111" s="47" t="str">
        <f>IF(Market_Data_Raw!C111&gt;20,"High Risk","Stable")</f>
        <v>Stable</v>
      </c>
      <c r="E111" s="48">
        <f>Market_Data_Raw!D111+Market_Data_Raw!E111</f>
        <v>154</v>
      </c>
      <c r="F111" s="49">
        <f>IF(Market_Data_Raw!F111&lt;0.8,-1,IF(Market_Data_Raw!F111&gt;1,1,0))</f>
        <v>-1</v>
      </c>
      <c r="G111" s="49">
        <f>IF(Market_Data_Raw!B112&gt;Market_Data_Raw!B111,1,-1)</f>
        <v>-1</v>
      </c>
    </row>
    <row r="112" spans="1:7" x14ac:dyDescent="0.3">
      <c r="A112" s="50">
        <f>Market_Data_Raw!A112</f>
        <v>45767</v>
      </c>
      <c r="B112" s="51">
        <f>Market_Data_Raw!B112</f>
        <v>22512.240000000002</v>
      </c>
      <c r="C112" s="52">
        <f>LN(Market_Data_Raw!B112/Market_Data_Raw!B111)</f>
        <v>-3.3265256079473927E-4</v>
      </c>
      <c r="D112" s="53" t="str">
        <f>IF(Market_Data_Raw!C112&gt;20,"High Risk","Stable")</f>
        <v>Stable</v>
      </c>
      <c r="E112" s="54">
        <f>Market_Data_Raw!D112+Market_Data_Raw!E112</f>
        <v>-681</v>
      </c>
      <c r="F112" s="55">
        <f>IF(Market_Data_Raw!F112&lt;0.8,-1,IF(Market_Data_Raw!F112&gt;1,1,0))</f>
        <v>0</v>
      </c>
      <c r="G112" s="55">
        <f>IF(Market_Data_Raw!B113&gt;Market_Data_Raw!B112,1,-1)</f>
        <v>-1</v>
      </c>
    </row>
    <row r="113" spans="1:7" x14ac:dyDescent="0.3">
      <c r="A113" s="44">
        <f>Market_Data_Raw!A113</f>
        <v>45768</v>
      </c>
      <c r="B113" s="45">
        <f>Market_Data_Raw!B113</f>
        <v>22154.7</v>
      </c>
      <c r="C113" s="46">
        <f>LN(Market_Data_Raw!B113/Market_Data_Raw!B112)</f>
        <v>-1.6009497697650699E-2</v>
      </c>
      <c r="D113" s="47" t="str">
        <f>IF(Market_Data_Raw!C113&gt;20,"High Risk","Stable")</f>
        <v>Stable</v>
      </c>
      <c r="E113" s="48">
        <f>Market_Data_Raw!D113+Market_Data_Raw!E113</f>
        <v>182</v>
      </c>
      <c r="F113" s="49">
        <f>IF(Market_Data_Raw!F113&lt;0.8,-1,IF(Market_Data_Raw!F113&gt;1,1,0))</f>
        <v>1</v>
      </c>
      <c r="G113" s="49">
        <f>IF(Market_Data_Raw!B114&gt;Market_Data_Raw!B113,1,-1)</f>
        <v>1</v>
      </c>
    </row>
    <row r="114" spans="1:7" x14ac:dyDescent="0.3">
      <c r="A114" s="50">
        <f>Market_Data_Raw!A114</f>
        <v>45769</v>
      </c>
      <c r="B114" s="51">
        <f>Market_Data_Raw!B114</f>
        <v>22156.35</v>
      </c>
      <c r="C114" s="52">
        <f>LN(Market_Data_Raw!B114/Market_Data_Raw!B113)</f>
        <v>7.44735230042649E-5</v>
      </c>
      <c r="D114" s="53" t="str">
        <f>IF(Market_Data_Raw!C114&gt;20,"High Risk","Stable")</f>
        <v>Stable</v>
      </c>
      <c r="E114" s="54">
        <f>Market_Data_Raw!D114+Market_Data_Raw!E114</f>
        <v>521</v>
      </c>
      <c r="F114" s="55">
        <f>IF(Market_Data_Raw!F114&lt;0.8,-1,IF(Market_Data_Raw!F114&gt;1,1,0))</f>
        <v>0</v>
      </c>
      <c r="G114" s="55">
        <f>IF(Market_Data_Raw!B115&gt;Market_Data_Raw!B114,1,-1)</f>
        <v>1</v>
      </c>
    </row>
    <row r="115" spans="1:7" x14ac:dyDescent="0.3">
      <c r="A115" s="44">
        <f>Market_Data_Raw!A115</f>
        <v>45770</v>
      </c>
      <c r="B115" s="45">
        <f>Market_Data_Raw!B115</f>
        <v>22174.35</v>
      </c>
      <c r="C115" s="46">
        <f>LN(Market_Data_Raw!B115/Market_Data_Raw!B114)</f>
        <v>8.1207835604704844E-4</v>
      </c>
      <c r="D115" s="47" t="str">
        <f>IF(Market_Data_Raw!C115&gt;20,"High Risk","Stable")</f>
        <v>Stable</v>
      </c>
      <c r="E115" s="48">
        <f>Market_Data_Raw!D115+Market_Data_Raw!E115</f>
        <v>-534</v>
      </c>
      <c r="F115" s="49">
        <f>IF(Market_Data_Raw!F115&lt;0.8,-1,IF(Market_Data_Raw!F115&gt;1,1,0))</f>
        <v>0</v>
      </c>
      <c r="G115" s="49">
        <f>IF(Market_Data_Raw!B116&gt;Market_Data_Raw!B115,1,-1)</f>
        <v>1</v>
      </c>
    </row>
    <row r="116" spans="1:7" x14ac:dyDescent="0.3">
      <c r="A116" s="50">
        <f>Market_Data_Raw!A116</f>
        <v>45771</v>
      </c>
      <c r="B116" s="51">
        <f>Market_Data_Raw!B116</f>
        <v>22650.32</v>
      </c>
      <c r="C116" s="52">
        <f>LN(Market_Data_Raw!B116/Market_Data_Raw!B115)</f>
        <v>2.1237764387147008E-2</v>
      </c>
      <c r="D116" s="53" t="str">
        <f>IF(Market_Data_Raw!C116&gt;20,"High Risk","Stable")</f>
        <v>Stable</v>
      </c>
      <c r="E116" s="54">
        <f>Market_Data_Raw!D116+Market_Data_Raw!E116</f>
        <v>2166</v>
      </c>
      <c r="F116" s="55">
        <f>IF(Market_Data_Raw!F116&lt;0.8,-1,IF(Market_Data_Raw!F116&gt;1,1,0))</f>
        <v>1</v>
      </c>
      <c r="G116" s="55">
        <f>IF(Market_Data_Raw!B117&gt;Market_Data_Raw!B116,1,-1)</f>
        <v>-1</v>
      </c>
    </row>
    <row r="117" spans="1:7" x14ac:dyDescent="0.3">
      <c r="A117" s="44">
        <f>Market_Data_Raw!A117</f>
        <v>45772</v>
      </c>
      <c r="B117" s="45">
        <f>Market_Data_Raw!B117</f>
        <v>22620.1</v>
      </c>
      <c r="C117" s="46">
        <f>LN(Market_Data_Raw!B117/Market_Data_Raw!B116)</f>
        <v>-1.3350883198711533E-3</v>
      </c>
      <c r="D117" s="47" t="str">
        <f>IF(Market_Data_Raw!C117&gt;20,"High Risk","Stable")</f>
        <v>Stable</v>
      </c>
      <c r="E117" s="48">
        <f>Market_Data_Raw!D117+Market_Data_Raw!E117</f>
        <v>657</v>
      </c>
      <c r="F117" s="49">
        <f>IF(Market_Data_Raw!F117&lt;0.8,-1,IF(Market_Data_Raw!F117&gt;1,1,0))</f>
        <v>0</v>
      </c>
      <c r="G117" s="49">
        <f>IF(Market_Data_Raw!B118&gt;Market_Data_Raw!B117,1,-1)</f>
        <v>1</v>
      </c>
    </row>
    <row r="118" spans="1:7" x14ac:dyDescent="0.3">
      <c r="A118" s="50">
        <f>Market_Data_Raw!A118</f>
        <v>45773</v>
      </c>
      <c r="B118" s="51">
        <f>Market_Data_Raw!B118</f>
        <v>22684.959999999999</v>
      </c>
      <c r="C118" s="52">
        <f>LN(Market_Data_Raw!B118/Market_Data_Raw!B117)</f>
        <v>2.8632582899802425E-3</v>
      </c>
      <c r="D118" s="53" t="str">
        <f>IF(Market_Data_Raw!C118&gt;20,"High Risk","Stable")</f>
        <v>Stable</v>
      </c>
      <c r="E118" s="54">
        <f>Market_Data_Raw!D118+Market_Data_Raw!E118</f>
        <v>849</v>
      </c>
      <c r="F118" s="55">
        <f>IF(Market_Data_Raw!F118&lt;0.8,-1,IF(Market_Data_Raw!F118&gt;1,1,0))</f>
        <v>0</v>
      </c>
      <c r="G118" s="55">
        <f>IF(Market_Data_Raw!B119&gt;Market_Data_Raw!B118,1,-1)</f>
        <v>1</v>
      </c>
    </row>
    <row r="119" spans="1:7" x14ac:dyDescent="0.3">
      <c r="A119" s="44">
        <f>Market_Data_Raw!A119</f>
        <v>45774</v>
      </c>
      <c r="B119" s="45">
        <f>Market_Data_Raw!B119</f>
        <v>22685.07</v>
      </c>
      <c r="C119" s="46">
        <f>LN(Market_Data_Raw!B119/Market_Data_Raw!B118)</f>
        <v>4.8490159692981584E-6</v>
      </c>
      <c r="D119" s="47" t="str">
        <f>IF(Market_Data_Raw!C119&gt;20,"High Risk","Stable")</f>
        <v>Stable</v>
      </c>
      <c r="E119" s="48">
        <f>Market_Data_Raw!D119+Market_Data_Raw!E119</f>
        <v>49</v>
      </c>
      <c r="F119" s="49">
        <f>IF(Market_Data_Raw!F119&lt;0.8,-1,IF(Market_Data_Raw!F119&gt;1,1,0))</f>
        <v>0</v>
      </c>
      <c r="G119" s="49">
        <f>IF(Market_Data_Raw!B120&gt;Market_Data_Raw!B119,1,-1)</f>
        <v>-1</v>
      </c>
    </row>
    <row r="120" spans="1:7" x14ac:dyDescent="0.3">
      <c r="A120" s="50">
        <f>Market_Data_Raw!A120</f>
        <v>45775</v>
      </c>
      <c r="B120" s="51">
        <f>Market_Data_Raw!B120</f>
        <v>22467.58</v>
      </c>
      <c r="C120" s="52">
        <f>LN(Market_Data_Raw!B120/Market_Data_Raw!B119)</f>
        <v>-9.6336176078023524E-3</v>
      </c>
      <c r="D120" s="53" t="str">
        <f>IF(Market_Data_Raw!C120&gt;20,"High Risk","Stable")</f>
        <v>Stable</v>
      </c>
      <c r="E120" s="54">
        <f>Market_Data_Raw!D120+Market_Data_Raw!E120</f>
        <v>-120</v>
      </c>
      <c r="F120" s="55">
        <f>IF(Market_Data_Raw!F120&lt;0.8,-1,IF(Market_Data_Raw!F120&gt;1,1,0))</f>
        <v>1</v>
      </c>
      <c r="G120" s="55">
        <f>IF(Market_Data_Raw!B121&gt;Market_Data_Raw!B120,1,-1)</f>
        <v>1</v>
      </c>
    </row>
    <row r="121" spans="1:7" x14ac:dyDescent="0.3">
      <c r="A121" s="44">
        <f>Market_Data_Raw!A121</f>
        <v>45776</v>
      </c>
      <c r="B121" s="45">
        <f>Market_Data_Raw!B121</f>
        <v>22693.7</v>
      </c>
      <c r="C121" s="46">
        <f>LN(Market_Data_Raw!B121/Market_Data_Raw!B120)</f>
        <v>1.0013971685448871E-2</v>
      </c>
      <c r="D121" s="47" t="str">
        <f>IF(Market_Data_Raw!C121&gt;20,"High Risk","Stable")</f>
        <v>Stable</v>
      </c>
      <c r="E121" s="48">
        <f>Market_Data_Raw!D121+Market_Data_Raw!E121</f>
        <v>1125</v>
      </c>
      <c r="F121" s="49">
        <f>IF(Market_Data_Raw!F121&lt;0.8,-1,IF(Market_Data_Raw!F121&gt;1,1,0))</f>
        <v>0</v>
      </c>
      <c r="G121" s="49">
        <f>IF(Market_Data_Raw!B122&gt;Market_Data_Raw!B121,1,-1)</f>
        <v>1</v>
      </c>
    </row>
    <row r="122" spans="1:7" x14ac:dyDescent="0.3">
      <c r="A122" s="50">
        <f>Market_Data_Raw!A122</f>
        <v>45777</v>
      </c>
      <c r="B122" s="51">
        <f>Market_Data_Raw!B122</f>
        <v>22846.06</v>
      </c>
      <c r="C122" s="52">
        <f>LN(Market_Data_Raw!B122/Market_Data_Raw!B121)</f>
        <v>6.6913206603301696E-3</v>
      </c>
      <c r="D122" s="53" t="str">
        <f>IF(Market_Data_Raw!C122&gt;20,"High Risk","Stable")</f>
        <v>Stable</v>
      </c>
      <c r="E122" s="54">
        <f>Market_Data_Raw!D122+Market_Data_Raw!E122</f>
        <v>1034</v>
      </c>
      <c r="F122" s="55">
        <f>IF(Market_Data_Raw!F122&lt;0.8,-1,IF(Market_Data_Raw!F122&gt;1,1,0))</f>
        <v>0</v>
      </c>
      <c r="G122" s="55">
        <f>IF(Market_Data_Raw!B123&gt;Market_Data_Raw!B122,1,-1)</f>
        <v>1</v>
      </c>
    </row>
    <row r="123" spans="1:7" x14ac:dyDescent="0.3">
      <c r="A123" s="44">
        <f>Market_Data_Raw!A123</f>
        <v>45778</v>
      </c>
      <c r="B123" s="45">
        <f>Market_Data_Raw!B123</f>
        <v>23007.09</v>
      </c>
      <c r="C123" s="46">
        <f>LN(Market_Data_Raw!B123/Market_Data_Raw!B122)</f>
        <v>7.0237557074765092E-3</v>
      </c>
      <c r="D123" s="47" t="str">
        <f>IF(Market_Data_Raw!C123&gt;20,"High Risk","Stable")</f>
        <v>Stable</v>
      </c>
      <c r="E123" s="48">
        <f>Market_Data_Raw!D123+Market_Data_Raw!E123</f>
        <v>1642</v>
      </c>
      <c r="F123" s="49">
        <f>IF(Market_Data_Raw!F123&lt;0.8,-1,IF(Market_Data_Raw!F123&gt;1,1,0))</f>
        <v>1</v>
      </c>
      <c r="G123" s="49">
        <f>IF(Market_Data_Raw!B124&gt;Market_Data_Raw!B123,1,-1)</f>
        <v>-1</v>
      </c>
    </row>
    <row r="124" spans="1:7" x14ac:dyDescent="0.3">
      <c r="A124" s="50">
        <f>Market_Data_Raw!A124</f>
        <v>45779</v>
      </c>
      <c r="B124" s="51">
        <f>Market_Data_Raw!B124</f>
        <v>22836.79</v>
      </c>
      <c r="C124" s="52">
        <f>LN(Market_Data_Raw!B124/Market_Data_Raw!B123)</f>
        <v>-7.4295972925456106E-3</v>
      </c>
      <c r="D124" s="53" t="str">
        <f>IF(Market_Data_Raw!C124&gt;20,"High Risk","Stable")</f>
        <v>Stable</v>
      </c>
      <c r="E124" s="54">
        <f>Market_Data_Raw!D124+Market_Data_Raw!E124</f>
        <v>-534</v>
      </c>
      <c r="F124" s="55">
        <f>IF(Market_Data_Raw!F124&lt;0.8,-1,IF(Market_Data_Raw!F124&gt;1,1,0))</f>
        <v>1</v>
      </c>
      <c r="G124" s="55">
        <f>IF(Market_Data_Raw!B125&gt;Market_Data_Raw!B124,1,-1)</f>
        <v>1</v>
      </c>
    </row>
    <row r="125" spans="1:7" x14ac:dyDescent="0.3">
      <c r="A125" s="44">
        <f>Market_Data_Raw!A125</f>
        <v>45780</v>
      </c>
      <c r="B125" s="45">
        <f>Market_Data_Raw!B125</f>
        <v>23117.65</v>
      </c>
      <c r="C125" s="46">
        <f>LN(Market_Data_Raw!B125/Market_Data_Raw!B124)</f>
        <v>1.2223563035951004E-2</v>
      </c>
      <c r="D125" s="47" t="str">
        <f>IF(Market_Data_Raw!C125&gt;20,"High Risk","Stable")</f>
        <v>Stable</v>
      </c>
      <c r="E125" s="48">
        <f>Market_Data_Raw!D125+Market_Data_Raw!E125</f>
        <v>589</v>
      </c>
      <c r="F125" s="49">
        <f>IF(Market_Data_Raw!F125&lt;0.8,-1,IF(Market_Data_Raw!F125&gt;1,1,0))</f>
        <v>1</v>
      </c>
      <c r="G125" s="49">
        <f>IF(Market_Data_Raw!B126&gt;Market_Data_Raw!B125,1,-1)</f>
        <v>-1</v>
      </c>
    </row>
    <row r="126" spans="1:7" x14ac:dyDescent="0.3">
      <c r="A126" s="50">
        <f>Market_Data_Raw!A126</f>
        <v>45781</v>
      </c>
      <c r="B126" s="51">
        <f>Market_Data_Raw!B126</f>
        <v>22850.68</v>
      </c>
      <c r="C126" s="52">
        <f>LN(Market_Data_Raw!B126/Market_Data_Raw!B125)</f>
        <v>-1.1615518842304514E-2</v>
      </c>
      <c r="D126" s="53" t="str">
        <f>IF(Market_Data_Raw!C126&gt;20,"High Risk","Stable")</f>
        <v>High Risk</v>
      </c>
      <c r="E126" s="54">
        <f>Market_Data_Raw!D126+Market_Data_Raw!E126</f>
        <v>-470</v>
      </c>
      <c r="F126" s="55">
        <f>IF(Market_Data_Raw!F126&lt;0.8,-1,IF(Market_Data_Raw!F126&gt;1,1,0))</f>
        <v>1</v>
      </c>
      <c r="G126" s="55">
        <f>IF(Market_Data_Raw!B127&gt;Market_Data_Raw!B126,1,-1)</f>
        <v>1</v>
      </c>
    </row>
    <row r="127" spans="1:7" x14ac:dyDescent="0.3">
      <c r="A127" s="44">
        <f>Market_Data_Raw!A127</f>
        <v>45782</v>
      </c>
      <c r="B127" s="45">
        <f>Market_Data_Raw!B127</f>
        <v>22971.84</v>
      </c>
      <c r="C127" s="46">
        <f>LN(Market_Data_Raw!B127/Market_Data_Raw!B126)</f>
        <v>5.2882417797280677E-3</v>
      </c>
      <c r="D127" s="47" t="str">
        <f>IF(Market_Data_Raw!C127&gt;20,"High Risk","Stable")</f>
        <v>High Risk</v>
      </c>
      <c r="E127" s="48">
        <f>Market_Data_Raw!D127+Market_Data_Raw!E127</f>
        <v>552</v>
      </c>
      <c r="F127" s="49">
        <f>IF(Market_Data_Raw!F127&lt;0.8,-1,IF(Market_Data_Raw!F127&gt;1,1,0))</f>
        <v>0</v>
      </c>
      <c r="G127" s="49">
        <f>IF(Market_Data_Raw!B128&gt;Market_Data_Raw!B127,1,-1)</f>
        <v>1</v>
      </c>
    </row>
    <row r="128" spans="1:7" x14ac:dyDescent="0.3">
      <c r="A128" s="50">
        <f>Market_Data_Raw!A128</f>
        <v>45783</v>
      </c>
      <c r="B128" s="51">
        <f>Market_Data_Raw!B128</f>
        <v>23410.58</v>
      </c>
      <c r="C128" s="52">
        <f>LN(Market_Data_Raw!B128/Market_Data_Raw!B127)</f>
        <v>1.8918938955846922E-2</v>
      </c>
      <c r="D128" s="53" t="str">
        <f>IF(Market_Data_Raw!C128&gt;20,"High Risk","Stable")</f>
        <v>High Risk</v>
      </c>
      <c r="E128" s="54">
        <f>Market_Data_Raw!D128+Market_Data_Raw!E128</f>
        <v>1689</v>
      </c>
      <c r="F128" s="55">
        <f>IF(Market_Data_Raw!F128&lt;0.8,-1,IF(Market_Data_Raw!F128&gt;1,1,0))</f>
        <v>1</v>
      </c>
      <c r="G128" s="55">
        <f>IF(Market_Data_Raw!B129&gt;Market_Data_Raw!B128,1,-1)</f>
        <v>-1</v>
      </c>
    </row>
    <row r="129" spans="1:7" x14ac:dyDescent="0.3">
      <c r="A129" s="44">
        <f>Market_Data_Raw!A129</f>
        <v>45784</v>
      </c>
      <c r="B129" s="45">
        <f>Market_Data_Raw!B129</f>
        <v>23221.27</v>
      </c>
      <c r="C129" s="46">
        <f>LN(Market_Data_Raw!B129/Market_Data_Raw!B128)</f>
        <v>-8.119387929587104E-3</v>
      </c>
      <c r="D129" s="47" t="str">
        <f>IF(Market_Data_Raw!C129&gt;20,"High Risk","Stable")</f>
        <v>High Risk</v>
      </c>
      <c r="E129" s="48">
        <f>Market_Data_Raw!D129+Market_Data_Raw!E129</f>
        <v>508</v>
      </c>
      <c r="F129" s="49">
        <f>IF(Market_Data_Raw!F129&lt;0.8,-1,IF(Market_Data_Raw!F129&gt;1,1,0))</f>
        <v>0</v>
      </c>
      <c r="G129" s="49">
        <f>IF(Market_Data_Raw!B130&gt;Market_Data_Raw!B129,1,-1)</f>
        <v>-1</v>
      </c>
    </row>
    <row r="130" spans="1:7" x14ac:dyDescent="0.3">
      <c r="A130" s="50">
        <f>Market_Data_Raw!A130</f>
        <v>45785</v>
      </c>
      <c r="B130" s="51">
        <f>Market_Data_Raw!B130</f>
        <v>23116.7</v>
      </c>
      <c r="C130" s="52">
        <f>LN(Market_Data_Raw!B130/Market_Data_Raw!B129)</f>
        <v>-4.5133689504251104E-3</v>
      </c>
      <c r="D130" s="53" t="str">
        <f>IF(Market_Data_Raw!C130&gt;20,"High Risk","Stable")</f>
        <v>High Risk</v>
      </c>
      <c r="E130" s="54">
        <f>Market_Data_Raw!D130+Market_Data_Raw!E130</f>
        <v>-619</v>
      </c>
      <c r="F130" s="55">
        <f>IF(Market_Data_Raw!F130&lt;0.8,-1,IF(Market_Data_Raw!F130&gt;1,1,0))</f>
        <v>1</v>
      </c>
      <c r="G130" s="55">
        <f>IF(Market_Data_Raw!B131&gt;Market_Data_Raw!B130,1,-1)</f>
        <v>1</v>
      </c>
    </row>
    <row r="131" spans="1:7" x14ac:dyDescent="0.3">
      <c r="A131" s="44">
        <f>Market_Data_Raw!A131</f>
        <v>45786</v>
      </c>
      <c r="B131" s="45">
        <f>Market_Data_Raw!B131</f>
        <v>23143.23</v>
      </c>
      <c r="C131" s="46">
        <f>LN(Market_Data_Raw!B131/Market_Data_Raw!B130)</f>
        <v>1.1469971056410001E-3</v>
      </c>
      <c r="D131" s="47" t="str">
        <f>IF(Market_Data_Raw!C131&gt;20,"High Risk","Stable")</f>
        <v>High Risk</v>
      </c>
      <c r="E131" s="48">
        <f>Market_Data_Raw!D131+Market_Data_Raw!E131</f>
        <v>329</v>
      </c>
      <c r="F131" s="49">
        <f>IF(Market_Data_Raw!F131&lt;0.8,-1,IF(Market_Data_Raw!F131&gt;1,1,0))</f>
        <v>0</v>
      </c>
      <c r="G131" s="49">
        <f>IF(Market_Data_Raw!B132&gt;Market_Data_Raw!B131,1,-1)</f>
        <v>-1</v>
      </c>
    </row>
    <row r="132" spans="1:7" x14ac:dyDescent="0.3">
      <c r="A132" s="50">
        <f>Market_Data_Raw!A132</f>
        <v>45787</v>
      </c>
      <c r="B132" s="51">
        <f>Market_Data_Raw!B132</f>
        <v>23051.31</v>
      </c>
      <c r="C132" s="52">
        <f>LN(Market_Data_Raw!B132/Market_Data_Raw!B131)</f>
        <v>-3.9796963588734149E-3</v>
      </c>
      <c r="D132" s="53" t="str">
        <f>IF(Market_Data_Raw!C132&gt;20,"High Risk","Stable")</f>
        <v>High Risk</v>
      </c>
      <c r="E132" s="54">
        <f>Market_Data_Raw!D132+Market_Data_Raw!E132</f>
        <v>4</v>
      </c>
      <c r="F132" s="55">
        <f>IF(Market_Data_Raw!F132&lt;0.8,-1,IF(Market_Data_Raw!F132&gt;1,1,0))</f>
        <v>0</v>
      </c>
      <c r="G132" s="55">
        <f>IF(Market_Data_Raw!B133&gt;Market_Data_Raw!B132,1,-1)</f>
        <v>-1</v>
      </c>
    </row>
    <row r="133" spans="1:7" x14ac:dyDescent="0.3">
      <c r="A133" s="44">
        <f>Market_Data_Raw!A133</f>
        <v>45788</v>
      </c>
      <c r="B133" s="45">
        <f>Market_Data_Raw!B133</f>
        <v>22756.3</v>
      </c>
      <c r="C133" s="46">
        <f>LN(Market_Data_Raw!B133/Market_Data_Raw!B132)</f>
        <v>-1.2880570661761362E-2</v>
      </c>
      <c r="D133" s="47" t="str">
        <f>IF(Market_Data_Raw!C133&gt;20,"High Risk","Stable")</f>
        <v>High Risk</v>
      </c>
      <c r="E133" s="48">
        <f>Market_Data_Raw!D133+Market_Data_Raw!E133</f>
        <v>488</v>
      </c>
      <c r="F133" s="49">
        <f>IF(Market_Data_Raw!F133&lt;0.8,-1,IF(Market_Data_Raw!F133&gt;1,1,0))</f>
        <v>1</v>
      </c>
      <c r="G133" s="49">
        <f>IF(Market_Data_Raw!B134&gt;Market_Data_Raw!B133,1,-1)</f>
        <v>1</v>
      </c>
    </row>
    <row r="134" spans="1:7" x14ac:dyDescent="0.3">
      <c r="A134" s="50">
        <f>Market_Data_Raw!A134</f>
        <v>45789</v>
      </c>
      <c r="B134" s="51">
        <f>Market_Data_Raw!B134</f>
        <v>22776.400000000001</v>
      </c>
      <c r="C134" s="52">
        <f>LN(Market_Data_Raw!B134/Market_Data_Raw!B133)</f>
        <v>8.8288203008527041E-4</v>
      </c>
      <c r="D134" s="53" t="str">
        <f>IF(Market_Data_Raw!C134&gt;20,"High Risk","Stable")</f>
        <v>High Risk</v>
      </c>
      <c r="E134" s="54">
        <f>Market_Data_Raw!D134+Market_Data_Raw!E134</f>
        <v>951</v>
      </c>
      <c r="F134" s="55">
        <f>IF(Market_Data_Raw!F134&lt;0.8,-1,IF(Market_Data_Raw!F134&gt;1,1,0))</f>
        <v>0</v>
      </c>
      <c r="G134" s="55">
        <f>IF(Market_Data_Raw!B135&gt;Market_Data_Raw!B134,1,-1)</f>
        <v>-1</v>
      </c>
    </row>
    <row r="135" spans="1:7" x14ac:dyDescent="0.3">
      <c r="A135" s="44">
        <f>Market_Data_Raw!A135</f>
        <v>45790</v>
      </c>
      <c r="B135" s="45">
        <f>Market_Data_Raw!B135</f>
        <v>22578.44</v>
      </c>
      <c r="C135" s="46">
        <f>LN(Market_Data_Raw!B135/Market_Data_Raw!B134)</f>
        <v>-8.7294435212178292E-3</v>
      </c>
      <c r="D135" s="47" t="str">
        <f>IF(Market_Data_Raw!C135&gt;20,"High Risk","Stable")</f>
        <v>High Risk</v>
      </c>
      <c r="E135" s="48">
        <f>Market_Data_Raw!D135+Market_Data_Raw!E135</f>
        <v>-13</v>
      </c>
      <c r="F135" s="49">
        <f>IF(Market_Data_Raw!F135&lt;0.8,-1,IF(Market_Data_Raw!F135&gt;1,1,0))</f>
        <v>0</v>
      </c>
      <c r="G135" s="49">
        <f>IF(Market_Data_Raw!B136&gt;Market_Data_Raw!B135,1,-1)</f>
        <v>1</v>
      </c>
    </row>
    <row r="136" spans="1:7" x14ac:dyDescent="0.3">
      <c r="A136" s="50">
        <f>Market_Data_Raw!A136</f>
        <v>45791</v>
      </c>
      <c r="B136" s="51">
        <f>Market_Data_Raw!B136</f>
        <v>22676.32</v>
      </c>
      <c r="C136" s="52">
        <f>LN(Market_Data_Raw!B136/Market_Data_Raw!B135)</f>
        <v>4.3257395521569889E-3</v>
      </c>
      <c r="D136" s="53" t="str">
        <f>IF(Market_Data_Raw!C136&gt;20,"High Risk","Stable")</f>
        <v>Stable</v>
      </c>
      <c r="E136" s="54">
        <f>Market_Data_Raw!D136+Market_Data_Raw!E136</f>
        <v>127</v>
      </c>
      <c r="F136" s="55">
        <f>IF(Market_Data_Raw!F136&lt;0.8,-1,IF(Market_Data_Raw!F136&gt;1,1,0))</f>
        <v>1</v>
      </c>
      <c r="G136" s="55">
        <f>IF(Market_Data_Raw!B137&gt;Market_Data_Raw!B136,1,-1)</f>
        <v>-1</v>
      </c>
    </row>
    <row r="137" spans="1:7" x14ac:dyDescent="0.3">
      <c r="A137" s="44">
        <f>Market_Data_Raw!A137</f>
        <v>45792</v>
      </c>
      <c r="B137" s="45">
        <f>Market_Data_Raw!B137</f>
        <v>22506.54</v>
      </c>
      <c r="C137" s="46">
        <f>LN(Market_Data_Raw!B137/Market_Data_Raw!B136)</f>
        <v>-7.5152745571192194E-3</v>
      </c>
      <c r="D137" s="47" t="str">
        <f>IF(Market_Data_Raw!C137&gt;20,"High Risk","Stable")</f>
        <v>Stable</v>
      </c>
      <c r="E137" s="48">
        <f>Market_Data_Raw!D137+Market_Data_Raw!E137</f>
        <v>192</v>
      </c>
      <c r="F137" s="49">
        <f>IF(Market_Data_Raw!F137&lt;0.8,-1,IF(Market_Data_Raw!F137&gt;1,1,0))</f>
        <v>0</v>
      </c>
      <c r="G137" s="49">
        <f>IF(Market_Data_Raw!B138&gt;Market_Data_Raw!B137,1,-1)</f>
        <v>1</v>
      </c>
    </row>
    <row r="138" spans="1:7" x14ac:dyDescent="0.3">
      <c r="A138" s="50">
        <f>Market_Data_Raw!A138</f>
        <v>45793</v>
      </c>
      <c r="B138" s="51">
        <f>Market_Data_Raw!B138</f>
        <v>22811.86</v>
      </c>
      <c r="C138" s="52">
        <f>LN(Market_Data_Raw!B138/Market_Data_Raw!B137)</f>
        <v>1.3474642512977001E-2</v>
      </c>
      <c r="D138" s="53" t="str">
        <f>IF(Market_Data_Raw!C138&gt;20,"High Risk","Stable")</f>
        <v>Stable</v>
      </c>
      <c r="E138" s="54">
        <f>Market_Data_Raw!D138+Market_Data_Raw!E138</f>
        <v>904</v>
      </c>
      <c r="F138" s="55">
        <f>IF(Market_Data_Raw!F138&lt;0.8,-1,IF(Market_Data_Raw!F138&gt;1,1,0))</f>
        <v>0</v>
      </c>
      <c r="G138" s="55">
        <f>IF(Market_Data_Raw!B139&gt;Market_Data_Raw!B138,1,-1)</f>
        <v>-1</v>
      </c>
    </row>
    <row r="139" spans="1:7" x14ac:dyDescent="0.3">
      <c r="A139" s="44">
        <f>Market_Data_Raw!A139</f>
        <v>45794</v>
      </c>
      <c r="B139" s="45">
        <f>Market_Data_Raw!B139</f>
        <v>22667.29</v>
      </c>
      <c r="C139" s="46">
        <f>LN(Market_Data_Raw!B139/Market_Data_Raw!B138)</f>
        <v>-6.3576600247676968E-3</v>
      </c>
      <c r="D139" s="47" t="str">
        <f>IF(Market_Data_Raw!C139&gt;20,"High Risk","Stable")</f>
        <v>Stable</v>
      </c>
      <c r="E139" s="48">
        <f>Market_Data_Raw!D139+Market_Data_Raw!E139</f>
        <v>248</v>
      </c>
      <c r="F139" s="49">
        <f>IF(Market_Data_Raw!F139&lt;0.8,-1,IF(Market_Data_Raw!F139&gt;1,1,0))</f>
        <v>1</v>
      </c>
      <c r="G139" s="49">
        <f>IF(Market_Data_Raw!B140&gt;Market_Data_Raw!B139,1,-1)</f>
        <v>-1</v>
      </c>
    </row>
    <row r="140" spans="1:7" x14ac:dyDescent="0.3">
      <c r="A140" s="50">
        <f>Market_Data_Raw!A140</f>
        <v>45795</v>
      </c>
      <c r="B140" s="51">
        <f>Market_Data_Raw!B140</f>
        <v>22612.11</v>
      </c>
      <c r="C140" s="52">
        <f>LN(Market_Data_Raw!B140/Market_Data_Raw!B139)</f>
        <v>-2.4373126550424179E-3</v>
      </c>
      <c r="D140" s="53" t="str">
        <f>IF(Market_Data_Raw!C140&gt;20,"High Risk","Stable")</f>
        <v>Stable</v>
      </c>
      <c r="E140" s="54">
        <f>Market_Data_Raw!D140+Market_Data_Raw!E140</f>
        <v>637</v>
      </c>
      <c r="F140" s="55">
        <f>IF(Market_Data_Raw!F140&lt;0.8,-1,IF(Market_Data_Raw!F140&gt;1,1,0))</f>
        <v>1</v>
      </c>
      <c r="G140" s="55">
        <f>IF(Market_Data_Raw!B141&gt;Market_Data_Raw!B140,1,-1)</f>
        <v>1</v>
      </c>
    </row>
    <row r="141" spans="1:7" x14ac:dyDescent="0.3">
      <c r="A141" s="44">
        <f>Market_Data_Raw!A141</f>
        <v>45796</v>
      </c>
      <c r="B141" s="45">
        <f>Market_Data_Raw!B141</f>
        <v>22775.84</v>
      </c>
      <c r="C141" s="46">
        <f>LN(Market_Data_Raw!B141/Market_Data_Raw!B140)</f>
        <v>7.2147215376930545E-3</v>
      </c>
      <c r="D141" s="47" t="str">
        <f>IF(Market_Data_Raw!C141&gt;20,"High Risk","Stable")</f>
        <v>Stable</v>
      </c>
      <c r="E141" s="48">
        <f>Market_Data_Raw!D141+Market_Data_Raw!E141</f>
        <v>418</v>
      </c>
      <c r="F141" s="49">
        <f>IF(Market_Data_Raw!F141&lt;0.8,-1,IF(Market_Data_Raw!F141&gt;1,1,0))</f>
        <v>-1</v>
      </c>
      <c r="G141" s="49">
        <f>IF(Market_Data_Raw!B142&gt;Market_Data_Raw!B141,1,-1)</f>
        <v>-1</v>
      </c>
    </row>
    <row r="142" spans="1:7" x14ac:dyDescent="0.3">
      <c r="A142" s="50">
        <f>Market_Data_Raw!A142</f>
        <v>45797</v>
      </c>
      <c r="B142" s="51">
        <f>Market_Data_Raw!B142</f>
        <v>22545.56</v>
      </c>
      <c r="C142" s="52">
        <f>LN(Market_Data_Raw!B142/Market_Data_Raw!B141)</f>
        <v>-1.0162174237502215E-2</v>
      </c>
      <c r="D142" s="53" t="str">
        <f>IF(Market_Data_Raw!C142&gt;20,"High Risk","Stable")</f>
        <v>High Risk</v>
      </c>
      <c r="E142" s="54">
        <f>Market_Data_Raw!D142+Market_Data_Raw!E142</f>
        <v>-456</v>
      </c>
      <c r="F142" s="55">
        <f>IF(Market_Data_Raw!F142&lt;0.8,-1,IF(Market_Data_Raw!F142&gt;1,1,0))</f>
        <v>1</v>
      </c>
      <c r="G142" s="55">
        <f>IF(Market_Data_Raw!B143&gt;Market_Data_Raw!B142,1,-1)</f>
        <v>1</v>
      </c>
    </row>
    <row r="143" spans="1:7" x14ac:dyDescent="0.3">
      <c r="A143" s="44">
        <f>Market_Data_Raw!A143</f>
        <v>45798</v>
      </c>
      <c r="B143" s="45">
        <f>Market_Data_Raw!B143</f>
        <v>22595.97</v>
      </c>
      <c r="C143" s="46">
        <f>LN(Market_Data_Raw!B143/Market_Data_Raw!B142)</f>
        <v>2.2334210184929916E-3</v>
      </c>
      <c r="D143" s="47" t="str">
        <f>IF(Market_Data_Raw!C143&gt;20,"High Risk","Stable")</f>
        <v>Stable</v>
      </c>
      <c r="E143" s="48">
        <f>Market_Data_Raw!D143+Market_Data_Raw!E143</f>
        <v>443</v>
      </c>
      <c r="F143" s="49">
        <f>IF(Market_Data_Raw!F143&lt;0.8,-1,IF(Market_Data_Raw!F143&gt;1,1,0))</f>
        <v>1</v>
      </c>
      <c r="G143" s="49">
        <f>IF(Market_Data_Raw!B144&gt;Market_Data_Raw!B143,1,-1)</f>
        <v>1</v>
      </c>
    </row>
    <row r="144" spans="1:7" x14ac:dyDescent="0.3">
      <c r="A144" s="50">
        <f>Market_Data_Raw!A144</f>
        <v>45799</v>
      </c>
      <c r="B144" s="51">
        <f>Market_Data_Raw!B144</f>
        <v>22855.279999999999</v>
      </c>
      <c r="C144" s="52">
        <f>LN(Market_Data_Raw!B144/Market_Data_Raw!B143)</f>
        <v>1.14105910636877E-2</v>
      </c>
      <c r="D144" s="53" t="str">
        <f>IF(Market_Data_Raw!C144&gt;20,"High Risk","Stable")</f>
        <v>Stable</v>
      </c>
      <c r="E144" s="54">
        <f>Market_Data_Raw!D144+Market_Data_Raw!E144</f>
        <v>1090</v>
      </c>
      <c r="F144" s="55">
        <f>IF(Market_Data_Raw!F144&lt;0.8,-1,IF(Market_Data_Raw!F144&gt;1,1,0))</f>
        <v>0</v>
      </c>
      <c r="G144" s="55">
        <f>IF(Market_Data_Raw!B145&gt;Market_Data_Raw!B144,1,-1)</f>
        <v>-1</v>
      </c>
    </row>
    <row r="145" spans="1:7" x14ac:dyDescent="0.3">
      <c r="A145" s="44">
        <f>Market_Data_Raw!A145</f>
        <v>45800</v>
      </c>
      <c r="B145" s="45">
        <f>Market_Data_Raw!B145</f>
        <v>22551.88</v>
      </c>
      <c r="C145" s="46">
        <f>LN(Market_Data_Raw!B145/Market_Data_Raw!B144)</f>
        <v>-1.3363730095381681E-2</v>
      </c>
      <c r="D145" s="47" t="str">
        <f>IF(Market_Data_Raw!C145&gt;20,"High Risk","Stable")</f>
        <v>Stable</v>
      </c>
      <c r="E145" s="48">
        <f>Market_Data_Raw!D145+Market_Data_Raw!E145</f>
        <v>313</v>
      </c>
      <c r="F145" s="49">
        <f>IF(Market_Data_Raw!F145&lt;0.8,-1,IF(Market_Data_Raw!F145&gt;1,1,0))</f>
        <v>1</v>
      </c>
      <c r="G145" s="49">
        <f>IF(Market_Data_Raw!B146&gt;Market_Data_Raw!B145,1,-1)</f>
        <v>1</v>
      </c>
    </row>
    <row r="146" spans="1:7" x14ac:dyDescent="0.3">
      <c r="A146" s="50">
        <f>Market_Data_Raw!A146</f>
        <v>45801</v>
      </c>
      <c r="B146" s="51">
        <f>Market_Data_Raw!B146</f>
        <v>22594.080000000002</v>
      </c>
      <c r="C146" s="52">
        <f>LN(Market_Data_Raw!B146/Market_Data_Raw!B145)</f>
        <v>1.8694922996767317E-3</v>
      </c>
      <c r="D146" s="53" t="str">
        <f>IF(Market_Data_Raw!C146&gt;20,"High Risk","Stable")</f>
        <v>Stable</v>
      </c>
      <c r="E146" s="54">
        <f>Market_Data_Raw!D146+Market_Data_Raw!E146</f>
        <v>744</v>
      </c>
      <c r="F146" s="55">
        <f>IF(Market_Data_Raw!F146&lt;0.8,-1,IF(Market_Data_Raw!F146&gt;1,1,0))</f>
        <v>0</v>
      </c>
      <c r="G146" s="55">
        <f>IF(Market_Data_Raw!B147&gt;Market_Data_Raw!B146,1,-1)</f>
        <v>1</v>
      </c>
    </row>
    <row r="147" spans="1:7" x14ac:dyDescent="0.3">
      <c r="A147" s="44">
        <f>Market_Data_Raw!A147</f>
        <v>45802</v>
      </c>
      <c r="B147" s="45">
        <f>Market_Data_Raw!B147</f>
        <v>22650.84</v>
      </c>
      <c r="C147" s="46">
        <f>LN(Market_Data_Raw!B147/Market_Data_Raw!B146)</f>
        <v>2.5090122725830301E-3</v>
      </c>
      <c r="D147" s="47" t="str">
        <f>IF(Market_Data_Raw!C147&gt;20,"High Risk","Stable")</f>
        <v>Stable</v>
      </c>
      <c r="E147" s="48">
        <f>Market_Data_Raw!D147+Market_Data_Raw!E147</f>
        <v>418</v>
      </c>
      <c r="F147" s="49">
        <f>IF(Market_Data_Raw!F147&lt;0.8,-1,IF(Market_Data_Raw!F147&gt;1,1,0))</f>
        <v>0</v>
      </c>
      <c r="G147" s="49">
        <f>IF(Market_Data_Raw!B148&gt;Market_Data_Raw!B147,1,-1)</f>
        <v>1</v>
      </c>
    </row>
    <row r="148" spans="1:7" x14ac:dyDescent="0.3">
      <c r="A148" s="50">
        <f>Market_Data_Raw!A148</f>
        <v>45803</v>
      </c>
      <c r="B148" s="51">
        <f>Market_Data_Raw!B148</f>
        <v>22808.71</v>
      </c>
      <c r="C148" s="52">
        <f>LN(Market_Data_Raw!B148/Market_Data_Raw!B147)</f>
        <v>6.9455432200447942E-3</v>
      </c>
      <c r="D148" s="53" t="str">
        <f>IF(Market_Data_Raw!C148&gt;20,"High Risk","Stable")</f>
        <v>High Risk</v>
      </c>
      <c r="E148" s="54">
        <f>Market_Data_Raw!D148+Market_Data_Raw!E148</f>
        <v>1169</v>
      </c>
      <c r="F148" s="55">
        <f>IF(Market_Data_Raw!F148&lt;0.8,-1,IF(Market_Data_Raw!F148&gt;1,1,0))</f>
        <v>0</v>
      </c>
      <c r="G148" s="55">
        <f>IF(Market_Data_Raw!B149&gt;Market_Data_Raw!B148,1,-1)</f>
        <v>-1</v>
      </c>
    </row>
    <row r="149" spans="1:7" x14ac:dyDescent="0.3">
      <c r="A149" s="44">
        <f>Market_Data_Raw!A149</f>
        <v>45804</v>
      </c>
      <c r="B149" s="45">
        <f>Market_Data_Raw!B149</f>
        <v>22576.93</v>
      </c>
      <c r="C149" s="46">
        <f>LN(Market_Data_Raw!B149/Market_Data_Raw!B148)</f>
        <v>-1.0213892103611271E-2</v>
      </c>
      <c r="D149" s="47" t="str">
        <f>IF(Market_Data_Raw!C149&gt;20,"High Risk","Stable")</f>
        <v>High Risk</v>
      </c>
      <c r="E149" s="48">
        <f>Market_Data_Raw!D149+Market_Data_Raw!E149</f>
        <v>-94</v>
      </c>
      <c r="F149" s="49">
        <f>IF(Market_Data_Raw!F149&lt;0.8,-1,IF(Market_Data_Raw!F149&gt;1,1,0))</f>
        <v>0</v>
      </c>
      <c r="G149" s="49">
        <f>IF(Market_Data_Raw!B150&gt;Market_Data_Raw!B149,1,-1)</f>
        <v>-1</v>
      </c>
    </row>
    <row r="150" spans="1:7" x14ac:dyDescent="0.3">
      <c r="A150" s="50">
        <f>Market_Data_Raw!A150</f>
        <v>45805</v>
      </c>
      <c r="B150" s="51">
        <f>Market_Data_Raw!B150</f>
        <v>22331.64</v>
      </c>
      <c r="C150" s="52">
        <f>LN(Market_Data_Raw!B150/Market_Data_Raw!B149)</f>
        <v>-1.0924081497735116E-2</v>
      </c>
      <c r="D150" s="53" t="str">
        <f>IF(Market_Data_Raw!C150&gt;20,"High Risk","Stable")</f>
        <v>Stable</v>
      </c>
      <c r="E150" s="54">
        <f>Market_Data_Raw!D150+Market_Data_Raw!E150</f>
        <v>-1339</v>
      </c>
      <c r="F150" s="55">
        <f>IF(Market_Data_Raw!F150&lt;0.8,-1,IF(Market_Data_Raw!F150&gt;1,1,0))</f>
        <v>-1</v>
      </c>
      <c r="G150" s="55">
        <f>IF(Market_Data_Raw!B151&gt;Market_Data_Raw!B150,1,-1)</f>
        <v>1</v>
      </c>
    </row>
    <row r="151" spans="1:7" x14ac:dyDescent="0.3">
      <c r="A151" s="44">
        <f>Market_Data_Raw!A151</f>
        <v>45806</v>
      </c>
      <c r="B151" s="45">
        <f>Market_Data_Raw!B151</f>
        <v>22437.66</v>
      </c>
      <c r="C151" s="46">
        <f>LN(Market_Data_Raw!B151/Market_Data_Raw!B150)</f>
        <v>4.7362901895081763E-3</v>
      </c>
      <c r="D151" s="47" t="str">
        <f>IF(Market_Data_Raw!C151&gt;20,"High Risk","Stable")</f>
        <v>Stable</v>
      </c>
      <c r="E151" s="48">
        <f>Market_Data_Raw!D151+Market_Data_Raw!E151</f>
        <v>501</v>
      </c>
      <c r="F151" s="49">
        <f>IF(Market_Data_Raw!F151&lt;0.8,-1,IF(Market_Data_Raw!F151&gt;1,1,0))</f>
        <v>-1</v>
      </c>
      <c r="G151" s="49">
        <f>IF(Market_Data_Raw!B152&gt;Market_Data_Raw!B151,1,-1)</f>
        <v>1</v>
      </c>
    </row>
    <row r="152" spans="1:7" x14ac:dyDescent="0.3">
      <c r="A152" s="50">
        <f>Market_Data_Raw!A152</f>
        <v>45807</v>
      </c>
      <c r="B152" s="51">
        <f>Market_Data_Raw!B152</f>
        <v>22501.119999999999</v>
      </c>
      <c r="C152" s="52">
        <f>LN(Market_Data_Raw!B152/Market_Data_Raw!B151)</f>
        <v>2.8242886069869103E-3</v>
      </c>
      <c r="D152" s="53" t="str">
        <f>IF(Market_Data_Raw!C152&gt;20,"High Risk","Stable")</f>
        <v>Stable</v>
      </c>
      <c r="E152" s="54">
        <f>Market_Data_Raw!D152+Market_Data_Raw!E152</f>
        <v>873</v>
      </c>
      <c r="F152" s="55">
        <f>IF(Market_Data_Raw!F152&lt;0.8,-1,IF(Market_Data_Raw!F152&gt;1,1,0))</f>
        <v>1</v>
      </c>
      <c r="G152" s="55">
        <f>IF(Market_Data_Raw!B153&gt;Market_Data_Raw!B152,1,-1)</f>
        <v>1</v>
      </c>
    </row>
    <row r="153" spans="1:7" x14ac:dyDescent="0.3">
      <c r="A153" s="44">
        <f>Market_Data_Raw!A153</f>
        <v>45808</v>
      </c>
      <c r="B153" s="45">
        <f>Market_Data_Raw!B153</f>
        <v>22555.85</v>
      </c>
      <c r="C153" s="46">
        <f>LN(Market_Data_Raw!B153/Market_Data_Raw!B152)</f>
        <v>2.4293700582752402E-3</v>
      </c>
      <c r="D153" s="47" t="str">
        <f>IF(Market_Data_Raw!C153&gt;20,"High Risk","Stable")</f>
        <v>High Risk</v>
      </c>
      <c r="E153" s="48">
        <f>Market_Data_Raw!D153+Market_Data_Raw!E153</f>
        <v>147</v>
      </c>
      <c r="F153" s="49">
        <f>IF(Market_Data_Raw!F153&lt;0.8,-1,IF(Market_Data_Raw!F153&gt;1,1,0))</f>
        <v>0</v>
      </c>
      <c r="G153" s="49">
        <f>IF(Market_Data_Raw!B154&gt;Market_Data_Raw!B153,1,-1)</f>
        <v>1</v>
      </c>
    </row>
    <row r="154" spans="1:7" x14ac:dyDescent="0.3">
      <c r="A154" s="50">
        <f>Market_Data_Raw!A154</f>
        <v>45809</v>
      </c>
      <c r="B154" s="51">
        <f>Market_Data_Raw!B154</f>
        <v>22629.16</v>
      </c>
      <c r="C154" s="52">
        <f>LN(Market_Data_Raw!B154/Market_Data_Raw!B153)</f>
        <v>3.2448842802106008E-3</v>
      </c>
      <c r="D154" s="53" t="str">
        <f>IF(Market_Data_Raw!C154&gt;20,"High Risk","Stable")</f>
        <v>Stable</v>
      </c>
      <c r="E154" s="54">
        <f>Market_Data_Raw!D154+Market_Data_Raw!E154</f>
        <v>1163</v>
      </c>
      <c r="F154" s="55">
        <f>IF(Market_Data_Raw!F154&lt;0.8,-1,IF(Market_Data_Raw!F154&gt;1,1,0))</f>
        <v>-1</v>
      </c>
      <c r="G154" s="55">
        <f>IF(Market_Data_Raw!B155&gt;Market_Data_Raw!B154,1,-1)</f>
        <v>-1</v>
      </c>
    </row>
    <row r="155" spans="1:7" x14ac:dyDescent="0.3">
      <c r="A155" s="44">
        <f>Market_Data_Raw!A155</f>
        <v>45810</v>
      </c>
      <c r="B155" s="45">
        <f>Market_Data_Raw!B155</f>
        <v>22505.49</v>
      </c>
      <c r="C155" s="46">
        <f>LN(Market_Data_Raw!B155/Market_Data_Raw!B154)</f>
        <v>-5.4800606405496196E-3</v>
      </c>
      <c r="D155" s="47" t="str">
        <f>IF(Market_Data_Raw!C155&gt;20,"High Risk","Stable")</f>
        <v>Stable</v>
      </c>
      <c r="E155" s="48">
        <f>Market_Data_Raw!D155+Market_Data_Raw!E155</f>
        <v>91</v>
      </c>
      <c r="F155" s="49">
        <f>IF(Market_Data_Raw!F155&lt;0.8,-1,IF(Market_Data_Raw!F155&gt;1,1,0))</f>
        <v>-1</v>
      </c>
      <c r="G155" s="49">
        <f>IF(Market_Data_Raw!B156&gt;Market_Data_Raw!B155,1,-1)</f>
        <v>1</v>
      </c>
    </row>
    <row r="156" spans="1:7" x14ac:dyDescent="0.3">
      <c r="A156" s="50">
        <f>Market_Data_Raw!A156</f>
        <v>45811</v>
      </c>
      <c r="B156" s="51">
        <f>Market_Data_Raw!B156</f>
        <v>22556.73</v>
      </c>
      <c r="C156" s="52">
        <f>LN(Market_Data_Raw!B156/Market_Data_Raw!B155)</f>
        <v>2.2741898683276392E-3</v>
      </c>
      <c r="D156" s="53" t="str">
        <f>IF(Market_Data_Raw!C156&gt;20,"High Risk","Stable")</f>
        <v>Stable</v>
      </c>
      <c r="E156" s="54">
        <f>Market_Data_Raw!D156+Market_Data_Raw!E156</f>
        <v>244</v>
      </c>
      <c r="F156" s="55">
        <f>IF(Market_Data_Raw!F156&lt;0.8,-1,IF(Market_Data_Raw!F156&gt;1,1,0))</f>
        <v>0</v>
      </c>
      <c r="G156" s="55">
        <f>IF(Market_Data_Raw!B157&gt;Market_Data_Raw!B156,1,-1)</f>
        <v>1</v>
      </c>
    </row>
    <row r="157" spans="1:7" x14ac:dyDescent="0.3">
      <c r="A157" s="44">
        <f>Market_Data_Raw!A157</f>
        <v>45812</v>
      </c>
      <c r="B157" s="45">
        <f>Market_Data_Raw!B157</f>
        <v>22619.78</v>
      </c>
      <c r="C157" s="46">
        <f>LN(Market_Data_Raw!B157/Market_Data_Raw!B156)</f>
        <v>2.7912754188560971E-3</v>
      </c>
      <c r="D157" s="47" t="str">
        <f>IF(Market_Data_Raw!C157&gt;20,"High Risk","Stable")</f>
        <v>Stable</v>
      </c>
      <c r="E157" s="48">
        <f>Market_Data_Raw!D157+Market_Data_Raw!E157</f>
        <v>619</v>
      </c>
      <c r="F157" s="49">
        <f>IF(Market_Data_Raw!F157&lt;0.8,-1,IF(Market_Data_Raw!F157&gt;1,1,0))</f>
        <v>-1</v>
      </c>
      <c r="G157" s="49">
        <f>IF(Market_Data_Raw!B158&gt;Market_Data_Raw!B157,1,-1)</f>
        <v>-1</v>
      </c>
    </row>
    <row r="158" spans="1:7" x14ac:dyDescent="0.3">
      <c r="A158" s="50">
        <f>Market_Data_Raw!A158</f>
        <v>45813</v>
      </c>
      <c r="B158" s="51">
        <f>Market_Data_Raw!B158</f>
        <v>22489.59</v>
      </c>
      <c r="C158" s="52">
        <f>LN(Market_Data_Raw!B158/Market_Data_Raw!B157)</f>
        <v>-5.7722092539385693E-3</v>
      </c>
      <c r="D158" s="53" t="str">
        <f>IF(Market_Data_Raw!C158&gt;20,"High Risk","Stable")</f>
        <v>Stable</v>
      </c>
      <c r="E158" s="54">
        <f>Market_Data_Raw!D158+Market_Data_Raw!E158</f>
        <v>846</v>
      </c>
      <c r="F158" s="55">
        <f>IF(Market_Data_Raw!F158&lt;0.8,-1,IF(Market_Data_Raw!F158&gt;1,1,0))</f>
        <v>1</v>
      </c>
      <c r="G158" s="55">
        <f>IF(Market_Data_Raw!B159&gt;Market_Data_Raw!B158,1,-1)</f>
        <v>1</v>
      </c>
    </row>
    <row r="159" spans="1:7" x14ac:dyDescent="0.3">
      <c r="A159" s="44">
        <f>Market_Data_Raw!A159</f>
        <v>45814</v>
      </c>
      <c r="B159" s="45">
        <f>Market_Data_Raw!B159</f>
        <v>22855.95</v>
      </c>
      <c r="C159" s="46">
        <f>LN(Market_Data_Raw!B159/Market_Data_Raw!B158)</f>
        <v>1.6158941836237516E-2</v>
      </c>
      <c r="D159" s="47" t="str">
        <f>IF(Market_Data_Raw!C159&gt;20,"High Risk","Stable")</f>
        <v>Stable</v>
      </c>
      <c r="E159" s="48">
        <f>Market_Data_Raw!D159+Market_Data_Raw!E159</f>
        <v>1079</v>
      </c>
      <c r="F159" s="49">
        <f>IF(Market_Data_Raw!F159&lt;0.8,-1,IF(Market_Data_Raw!F159&gt;1,1,0))</f>
        <v>1</v>
      </c>
      <c r="G159" s="49">
        <f>IF(Market_Data_Raw!B160&gt;Market_Data_Raw!B159,1,-1)</f>
        <v>1</v>
      </c>
    </row>
    <row r="160" spans="1:7" x14ac:dyDescent="0.3">
      <c r="A160" s="50">
        <f>Market_Data_Raw!A160</f>
        <v>45815</v>
      </c>
      <c r="B160" s="51">
        <f>Market_Data_Raw!B160</f>
        <v>22955.08</v>
      </c>
      <c r="C160" s="52">
        <f>LN(Market_Data_Raw!B160/Market_Data_Raw!B159)</f>
        <v>4.3277854579173575E-3</v>
      </c>
      <c r="D160" s="53" t="str">
        <f>IF(Market_Data_Raw!C160&gt;20,"High Risk","Stable")</f>
        <v>Stable</v>
      </c>
      <c r="E160" s="54">
        <f>Market_Data_Raw!D160+Market_Data_Raw!E160</f>
        <v>-251</v>
      </c>
      <c r="F160" s="55">
        <f>IF(Market_Data_Raw!F160&lt;0.8,-1,IF(Market_Data_Raw!F160&gt;1,1,0))</f>
        <v>0</v>
      </c>
      <c r="G160" s="55">
        <f>IF(Market_Data_Raw!B161&gt;Market_Data_Raw!B160,1,-1)</f>
        <v>-1</v>
      </c>
    </row>
    <row r="161" spans="1:7" x14ac:dyDescent="0.3">
      <c r="A161" s="44">
        <f>Market_Data_Raw!A161</f>
        <v>45816</v>
      </c>
      <c r="B161" s="45">
        <f>Market_Data_Raw!B161</f>
        <v>22730.63</v>
      </c>
      <c r="C161" s="46">
        <f>LN(Market_Data_Raw!B161/Market_Data_Raw!B160)</f>
        <v>-9.825908620264872E-3</v>
      </c>
      <c r="D161" s="47" t="str">
        <f>IF(Market_Data_Raw!C161&gt;20,"High Risk","Stable")</f>
        <v>Stable</v>
      </c>
      <c r="E161" s="48">
        <f>Market_Data_Raw!D161+Market_Data_Raw!E161</f>
        <v>57</v>
      </c>
      <c r="F161" s="49">
        <f>IF(Market_Data_Raw!F161&lt;0.8,-1,IF(Market_Data_Raw!F161&gt;1,1,0))</f>
        <v>1</v>
      </c>
      <c r="G161" s="49">
        <f>IF(Market_Data_Raw!B162&gt;Market_Data_Raw!B161,1,-1)</f>
        <v>1</v>
      </c>
    </row>
    <row r="162" spans="1:7" x14ac:dyDescent="0.3">
      <c r="A162" s="50">
        <f>Market_Data_Raw!A162</f>
        <v>45817</v>
      </c>
      <c r="B162" s="51">
        <f>Market_Data_Raw!B162</f>
        <v>22864.7</v>
      </c>
      <c r="C162" s="52">
        <f>LN(Market_Data_Raw!B162/Market_Data_Raw!B161)</f>
        <v>5.8808823797614797E-3</v>
      </c>
      <c r="D162" s="53" t="str">
        <f>IF(Market_Data_Raw!C162&gt;20,"High Risk","Stable")</f>
        <v>Stable</v>
      </c>
      <c r="E162" s="54">
        <f>Market_Data_Raw!D162+Market_Data_Raw!E162</f>
        <v>892</v>
      </c>
      <c r="F162" s="55">
        <f>IF(Market_Data_Raw!F162&lt;0.8,-1,IF(Market_Data_Raw!F162&gt;1,1,0))</f>
        <v>1</v>
      </c>
      <c r="G162" s="55">
        <f>IF(Market_Data_Raw!B163&gt;Market_Data_Raw!B162,1,-1)</f>
        <v>-1</v>
      </c>
    </row>
    <row r="163" spans="1:7" x14ac:dyDescent="0.3">
      <c r="A163" s="44">
        <f>Market_Data_Raw!A163</f>
        <v>45818</v>
      </c>
      <c r="B163" s="45">
        <f>Market_Data_Raw!B163</f>
        <v>22682.86</v>
      </c>
      <c r="C163" s="46">
        <f>LN(Market_Data_Raw!B163/Market_Data_Raw!B162)</f>
        <v>-7.9846633320179855E-3</v>
      </c>
      <c r="D163" s="47" t="str">
        <f>IF(Market_Data_Raw!C163&gt;20,"High Risk","Stable")</f>
        <v>Stable</v>
      </c>
      <c r="E163" s="48">
        <f>Market_Data_Raw!D163+Market_Data_Raw!E163</f>
        <v>821</v>
      </c>
      <c r="F163" s="49">
        <f>IF(Market_Data_Raw!F163&lt;0.8,-1,IF(Market_Data_Raw!F163&gt;1,1,0))</f>
        <v>0</v>
      </c>
      <c r="G163" s="49">
        <f>IF(Market_Data_Raw!B164&gt;Market_Data_Raw!B163,1,-1)</f>
        <v>1</v>
      </c>
    </row>
    <row r="164" spans="1:7" x14ac:dyDescent="0.3">
      <c r="A164" s="50">
        <f>Market_Data_Raw!A164</f>
        <v>45819</v>
      </c>
      <c r="B164" s="51">
        <f>Market_Data_Raw!B164</f>
        <v>22841.97</v>
      </c>
      <c r="C164" s="52">
        <f>LN(Market_Data_Raw!B164/Market_Data_Raw!B163)</f>
        <v>6.9900600553505837E-3</v>
      </c>
      <c r="D164" s="53" t="str">
        <f>IF(Market_Data_Raw!C164&gt;20,"High Risk","Stable")</f>
        <v>Stable</v>
      </c>
      <c r="E164" s="54">
        <f>Market_Data_Raw!D164+Market_Data_Raw!E164</f>
        <v>219</v>
      </c>
      <c r="F164" s="55">
        <f>IF(Market_Data_Raw!F164&lt;0.8,-1,IF(Market_Data_Raw!F164&gt;1,1,0))</f>
        <v>-1</v>
      </c>
      <c r="G164" s="55">
        <f>IF(Market_Data_Raw!B165&gt;Market_Data_Raw!B164,1,-1)</f>
        <v>1</v>
      </c>
    </row>
    <row r="165" spans="1:7" x14ac:dyDescent="0.3">
      <c r="A165" s="44">
        <f>Market_Data_Raw!A165</f>
        <v>45820</v>
      </c>
      <c r="B165" s="45">
        <f>Market_Data_Raw!B165</f>
        <v>23074.95</v>
      </c>
      <c r="C165" s="46">
        <f>LN(Market_Data_Raw!B165/Market_Data_Raw!B164)</f>
        <v>1.0147980281885769E-2</v>
      </c>
      <c r="D165" s="47" t="str">
        <f>IF(Market_Data_Raw!C165&gt;20,"High Risk","Stable")</f>
        <v>Stable</v>
      </c>
      <c r="E165" s="48">
        <f>Market_Data_Raw!D165+Market_Data_Raw!E165</f>
        <v>654</v>
      </c>
      <c r="F165" s="49">
        <f>IF(Market_Data_Raw!F165&lt;0.8,-1,IF(Market_Data_Raw!F165&gt;1,1,0))</f>
        <v>1</v>
      </c>
      <c r="G165" s="49">
        <f>IF(Market_Data_Raw!B166&gt;Market_Data_Raw!B165,1,-1)</f>
        <v>-1</v>
      </c>
    </row>
    <row r="166" spans="1:7" x14ac:dyDescent="0.3">
      <c r="A166" s="50">
        <f>Market_Data_Raw!A166</f>
        <v>45821</v>
      </c>
      <c r="B166" s="51">
        <f>Market_Data_Raw!B166</f>
        <v>22921.42</v>
      </c>
      <c r="C166" s="52">
        <f>LN(Market_Data_Raw!B166/Market_Data_Raw!B165)</f>
        <v>-6.675768987118887E-3</v>
      </c>
      <c r="D166" s="53" t="str">
        <f>IF(Market_Data_Raw!C166&gt;20,"High Risk","Stable")</f>
        <v>Stable</v>
      </c>
      <c r="E166" s="54">
        <f>Market_Data_Raw!D166+Market_Data_Raw!E166</f>
        <v>-32</v>
      </c>
      <c r="F166" s="55">
        <f>IF(Market_Data_Raw!F166&lt;0.8,-1,IF(Market_Data_Raw!F166&gt;1,1,0))</f>
        <v>-1</v>
      </c>
      <c r="G166" s="55">
        <f>IF(Market_Data_Raw!B167&gt;Market_Data_Raw!B166,1,-1)</f>
        <v>1</v>
      </c>
    </row>
    <row r="167" spans="1:7" x14ac:dyDescent="0.3">
      <c r="A167" s="44">
        <f>Market_Data_Raw!A167</f>
        <v>45822</v>
      </c>
      <c r="B167" s="45">
        <f>Market_Data_Raw!B167</f>
        <v>23116.82</v>
      </c>
      <c r="C167" s="46">
        <f>LN(Market_Data_Raw!B167/Market_Data_Raw!B166)</f>
        <v>8.4886465394289051E-3</v>
      </c>
      <c r="D167" s="47" t="str">
        <f>IF(Market_Data_Raw!C167&gt;20,"High Risk","Stable")</f>
        <v>Stable</v>
      </c>
      <c r="E167" s="48">
        <f>Market_Data_Raw!D167+Market_Data_Raw!E167</f>
        <v>1249</v>
      </c>
      <c r="F167" s="49">
        <f>IF(Market_Data_Raw!F167&lt;0.8,-1,IF(Market_Data_Raw!F167&gt;1,1,0))</f>
        <v>-1</v>
      </c>
      <c r="G167" s="49">
        <f>IF(Market_Data_Raw!B168&gt;Market_Data_Raw!B167,1,-1)</f>
        <v>1</v>
      </c>
    </row>
    <row r="168" spans="1:7" x14ac:dyDescent="0.3">
      <c r="A168" s="50">
        <f>Market_Data_Raw!A168</f>
        <v>45823</v>
      </c>
      <c r="B168" s="51">
        <f>Market_Data_Raw!B168</f>
        <v>23205.03</v>
      </c>
      <c r="C168" s="52">
        <f>LN(Market_Data_Raw!B168/Market_Data_Raw!B167)</f>
        <v>3.8085744254845945E-3</v>
      </c>
      <c r="D168" s="53" t="str">
        <f>IF(Market_Data_Raw!C168&gt;20,"High Risk","Stable")</f>
        <v>Stable</v>
      </c>
      <c r="E168" s="54">
        <f>Market_Data_Raw!D168+Market_Data_Raw!E168</f>
        <v>114</v>
      </c>
      <c r="F168" s="55">
        <f>IF(Market_Data_Raw!F168&lt;0.8,-1,IF(Market_Data_Raw!F168&gt;1,1,0))</f>
        <v>1</v>
      </c>
      <c r="G168" s="55">
        <f>IF(Market_Data_Raw!B169&gt;Market_Data_Raw!B168,1,-1)</f>
        <v>1</v>
      </c>
    </row>
    <row r="169" spans="1:7" x14ac:dyDescent="0.3">
      <c r="A169" s="44">
        <f>Market_Data_Raw!A169</f>
        <v>45824</v>
      </c>
      <c r="B169" s="45">
        <f>Market_Data_Raw!B169</f>
        <v>23374.75</v>
      </c>
      <c r="C169" s="46">
        <f>LN(Market_Data_Raw!B169/Market_Data_Raw!B168)</f>
        <v>7.2873144132653694E-3</v>
      </c>
      <c r="D169" s="47" t="str">
        <f>IF(Market_Data_Raw!C169&gt;20,"High Risk","Stable")</f>
        <v>Stable</v>
      </c>
      <c r="E169" s="48">
        <f>Market_Data_Raw!D169+Market_Data_Raw!E169</f>
        <v>752</v>
      </c>
      <c r="F169" s="49">
        <f>IF(Market_Data_Raw!F169&lt;0.8,-1,IF(Market_Data_Raw!F169&gt;1,1,0))</f>
        <v>1</v>
      </c>
      <c r="G169" s="49">
        <f>IF(Market_Data_Raw!B170&gt;Market_Data_Raw!B169,1,-1)</f>
        <v>1</v>
      </c>
    </row>
    <row r="170" spans="1:7" x14ac:dyDescent="0.3">
      <c r="A170" s="50">
        <f>Market_Data_Raw!A170</f>
        <v>45825</v>
      </c>
      <c r="B170" s="51">
        <f>Market_Data_Raw!B170</f>
        <v>23761.8</v>
      </c>
      <c r="C170" s="52">
        <f>LN(Market_Data_Raw!B170/Market_Data_Raw!B169)</f>
        <v>1.642286927035045E-2</v>
      </c>
      <c r="D170" s="53" t="str">
        <f>IF(Market_Data_Raw!C170&gt;20,"High Risk","Stable")</f>
        <v>Stable</v>
      </c>
      <c r="E170" s="54">
        <f>Market_Data_Raw!D170+Market_Data_Raw!E170</f>
        <v>1270</v>
      </c>
      <c r="F170" s="55">
        <f>IF(Market_Data_Raw!F170&lt;0.8,-1,IF(Market_Data_Raw!F170&gt;1,1,0))</f>
        <v>1</v>
      </c>
      <c r="G170" s="55">
        <f>IF(Market_Data_Raw!B171&gt;Market_Data_Raw!B170,1,-1)</f>
        <v>-1</v>
      </c>
    </row>
    <row r="171" spans="1:7" x14ac:dyDescent="0.3">
      <c r="A171" s="44">
        <f>Market_Data_Raw!A171</f>
        <v>45826</v>
      </c>
      <c r="B171" s="45">
        <f>Market_Data_Raw!B171</f>
        <v>23719.4</v>
      </c>
      <c r="C171" s="46">
        <f>LN(Market_Data_Raw!B171/Market_Data_Raw!B170)</f>
        <v>-1.7859705007556136E-3</v>
      </c>
      <c r="D171" s="47" t="str">
        <f>IF(Market_Data_Raw!C171&gt;20,"High Risk","Stable")</f>
        <v>Stable</v>
      </c>
      <c r="E171" s="48">
        <f>Market_Data_Raw!D171+Market_Data_Raw!E171</f>
        <v>697</v>
      </c>
      <c r="F171" s="49">
        <f>IF(Market_Data_Raw!F171&lt;0.8,-1,IF(Market_Data_Raw!F171&gt;1,1,0))</f>
        <v>0</v>
      </c>
      <c r="G171" s="49">
        <f>IF(Market_Data_Raw!B172&gt;Market_Data_Raw!B171,1,-1)</f>
        <v>-1</v>
      </c>
    </row>
    <row r="172" spans="1:7" x14ac:dyDescent="0.3">
      <c r="A172" s="50">
        <f>Market_Data_Raw!A172</f>
        <v>45827</v>
      </c>
      <c r="B172" s="51">
        <f>Market_Data_Raw!B172</f>
        <v>23574.99</v>
      </c>
      <c r="C172" s="52">
        <f>LN(Market_Data_Raw!B172/Market_Data_Raw!B171)</f>
        <v>-6.1068743587095221E-3</v>
      </c>
      <c r="D172" s="53" t="str">
        <f>IF(Market_Data_Raw!C172&gt;20,"High Risk","Stable")</f>
        <v>High Risk</v>
      </c>
      <c r="E172" s="54">
        <f>Market_Data_Raw!D172+Market_Data_Raw!E172</f>
        <v>-1214</v>
      </c>
      <c r="F172" s="55">
        <f>IF(Market_Data_Raw!F172&lt;0.8,-1,IF(Market_Data_Raw!F172&gt;1,1,0))</f>
        <v>1</v>
      </c>
      <c r="G172" s="55">
        <f>IF(Market_Data_Raw!B173&gt;Market_Data_Raw!B172,1,-1)</f>
        <v>-1</v>
      </c>
    </row>
    <row r="173" spans="1:7" x14ac:dyDescent="0.3">
      <c r="A173" s="44">
        <f>Market_Data_Raw!A173</f>
        <v>45828</v>
      </c>
      <c r="B173" s="45">
        <f>Market_Data_Raw!B173</f>
        <v>23404.43</v>
      </c>
      <c r="C173" s="46">
        <f>LN(Market_Data_Raw!B173/Market_Data_Raw!B172)</f>
        <v>-7.2610836563623184E-3</v>
      </c>
      <c r="D173" s="47" t="str">
        <f>IF(Market_Data_Raw!C173&gt;20,"High Risk","Stable")</f>
        <v>High Risk</v>
      </c>
      <c r="E173" s="48">
        <f>Market_Data_Raw!D173+Market_Data_Raw!E173</f>
        <v>282</v>
      </c>
      <c r="F173" s="49">
        <f>IF(Market_Data_Raw!F173&lt;0.8,-1,IF(Market_Data_Raw!F173&gt;1,1,0))</f>
        <v>1</v>
      </c>
      <c r="G173" s="49">
        <f>IF(Market_Data_Raw!B174&gt;Market_Data_Raw!B173,1,-1)</f>
        <v>-1</v>
      </c>
    </row>
    <row r="174" spans="1:7" x14ac:dyDescent="0.3">
      <c r="A174" s="50">
        <f>Market_Data_Raw!A174</f>
        <v>45829</v>
      </c>
      <c r="B174" s="51">
        <f>Market_Data_Raw!B174</f>
        <v>23249.67</v>
      </c>
      <c r="C174" s="52">
        <f>LN(Market_Data_Raw!B174/Market_Data_Raw!B173)</f>
        <v>-6.6343823006653879E-3</v>
      </c>
      <c r="D174" s="53" t="str">
        <f>IF(Market_Data_Raw!C174&gt;20,"High Risk","Stable")</f>
        <v>High Risk</v>
      </c>
      <c r="E174" s="54">
        <f>Market_Data_Raw!D174+Market_Data_Raw!E174</f>
        <v>804</v>
      </c>
      <c r="F174" s="55">
        <f>IF(Market_Data_Raw!F174&lt;0.8,-1,IF(Market_Data_Raw!F174&gt;1,1,0))</f>
        <v>1</v>
      </c>
      <c r="G174" s="55">
        <f>IF(Market_Data_Raw!B175&gt;Market_Data_Raw!B174,1,-1)</f>
        <v>-1</v>
      </c>
    </row>
    <row r="175" spans="1:7" x14ac:dyDescent="0.3">
      <c r="A175" s="44">
        <f>Market_Data_Raw!A175</f>
        <v>45830</v>
      </c>
      <c r="B175" s="45">
        <f>Market_Data_Raw!B175</f>
        <v>23241.41</v>
      </c>
      <c r="C175" s="46">
        <f>LN(Market_Data_Raw!B175/Market_Data_Raw!B174)</f>
        <v>-3.5533698451015302E-4</v>
      </c>
      <c r="D175" s="47" t="str">
        <f>IF(Market_Data_Raw!C175&gt;20,"High Risk","Stable")</f>
        <v>High Risk</v>
      </c>
      <c r="E175" s="48">
        <f>Market_Data_Raw!D175+Market_Data_Raw!E175</f>
        <v>-1016</v>
      </c>
      <c r="F175" s="49">
        <f>IF(Market_Data_Raw!F175&lt;0.8,-1,IF(Market_Data_Raw!F175&gt;1,1,0))</f>
        <v>1</v>
      </c>
      <c r="G175" s="49">
        <f>IF(Market_Data_Raw!B176&gt;Market_Data_Raw!B175,1,-1)</f>
        <v>1</v>
      </c>
    </row>
    <row r="176" spans="1:7" x14ac:dyDescent="0.3">
      <c r="A176" s="50">
        <f>Market_Data_Raw!A176</f>
        <v>45831</v>
      </c>
      <c r="B176" s="51">
        <f>Market_Data_Raw!B176</f>
        <v>23315.9</v>
      </c>
      <c r="C176" s="52">
        <f>LN(Market_Data_Raw!B176/Market_Data_Raw!B175)</f>
        <v>3.1999298740415299E-3</v>
      </c>
      <c r="D176" s="53" t="str">
        <f>IF(Market_Data_Raw!C176&gt;20,"High Risk","Stable")</f>
        <v>High Risk</v>
      </c>
      <c r="E176" s="54">
        <f>Market_Data_Raw!D176+Market_Data_Raw!E176</f>
        <v>319</v>
      </c>
      <c r="F176" s="55">
        <f>IF(Market_Data_Raw!F176&lt;0.8,-1,IF(Market_Data_Raw!F176&gt;1,1,0))</f>
        <v>0</v>
      </c>
      <c r="G176" s="55">
        <f>IF(Market_Data_Raw!B177&gt;Market_Data_Raw!B176,1,-1)</f>
        <v>1</v>
      </c>
    </row>
    <row r="177" spans="1:7" x14ac:dyDescent="0.3">
      <c r="A177" s="44">
        <f>Market_Data_Raw!A177</f>
        <v>45832</v>
      </c>
      <c r="B177" s="45">
        <f>Market_Data_Raw!B177</f>
        <v>23377.81</v>
      </c>
      <c r="C177" s="46">
        <f>LN(Market_Data_Raw!B177/Market_Data_Raw!B176)</f>
        <v>2.6517505796016853E-3</v>
      </c>
      <c r="D177" s="47" t="str">
        <f>IF(Market_Data_Raw!C177&gt;20,"High Risk","Stable")</f>
        <v>High Risk</v>
      </c>
      <c r="E177" s="48">
        <f>Market_Data_Raw!D177+Market_Data_Raw!E177</f>
        <v>-135</v>
      </c>
      <c r="F177" s="49">
        <f>IF(Market_Data_Raw!F177&lt;0.8,-1,IF(Market_Data_Raw!F177&gt;1,1,0))</f>
        <v>0</v>
      </c>
      <c r="G177" s="49">
        <f>IF(Market_Data_Raw!B178&gt;Market_Data_Raw!B177,1,-1)</f>
        <v>1</v>
      </c>
    </row>
    <row r="178" spans="1:7" x14ac:dyDescent="0.3">
      <c r="A178" s="50">
        <f>Market_Data_Raw!A178</f>
        <v>45833</v>
      </c>
      <c r="B178" s="51">
        <f>Market_Data_Raw!B178</f>
        <v>23549.82</v>
      </c>
      <c r="C178" s="52">
        <f>LN(Market_Data_Raw!B178/Market_Data_Raw!B177)</f>
        <v>7.330895267732806E-3</v>
      </c>
      <c r="D178" s="53" t="str">
        <f>IF(Market_Data_Raw!C178&gt;20,"High Risk","Stable")</f>
        <v>High Risk</v>
      </c>
      <c r="E178" s="54">
        <f>Market_Data_Raw!D178+Market_Data_Raw!E178</f>
        <v>712</v>
      </c>
      <c r="F178" s="55">
        <f>IF(Market_Data_Raw!F178&lt;0.8,-1,IF(Market_Data_Raw!F178&gt;1,1,0))</f>
        <v>0</v>
      </c>
      <c r="G178" s="55">
        <f>IF(Market_Data_Raw!B179&gt;Market_Data_Raw!B178,1,-1)</f>
        <v>1</v>
      </c>
    </row>
    <row r="179" spans="1:7" x14ac:dyDescent="0.3">
      <c r="A179" s="44">
        <f>Market_Data_Raw!A179</f>
        <v>45834</v>
      </c>
      <c r="B179" s="45">
        <f>Market_Data_Raw!B179</f>
        <v>23559.49</v>
      </c>
      <c r="C179" s="46">
        <f>LN(Market_Data_Raw!B179/Market_Data_Raw!B178)</f>
        <v>4.1053456889167335E-4</v>
      </c>
      <c r="D179" s="47" t="str">
        <f>IF(Market_Data_Raw!C179&gt;20,"High Risk","Stable")</f>
        <v>High Risk</v>
      </c>
      <c r="E179" s="48">
        <f>Market_Data_Raw!D179+Market_Data_Raw!E179</f>
        <v>-797</v>
      </c>
      <c r="F179" s="49">
        <f>IF(Market_Data_Raw!F179&lt;0.8,-1,IF(Market_Data_Raw!F179&gt;1,1,0))</f>
        <v>0</v>
      </c>
      <c r="G179" s="49">
        <f>IF(Market_Data_Raw!B180&gt;Market_Data_Raw!B179,1,-1)</f>
        <v>1</v>
      </c>
    </row>
    <row r="180" spans="1:7" x14ac:dyDescent="0.3">
      <c r="A180" s="50">
        <f>Market_Data_Raw!A180</f>
        <v>45835</v>
      </c>
      <c r="B180" s="51">
        <f>Market_Data_Raw!B180</f>
        <v>23859.53</v>
      </c>
      <c r="C180" s="52">
        <f>LN(Market_Data_Raw!B180/Market_Data_Raw!B179)</f>
        <v>1.2655006546019192E-2</v>
      </c>
      <c r="D180" s="53" t="str">
        <f>IF(Market_Data_Raw!C180&gt;20,"High Risk","Stable")</f>
        <v>High Risk</v>
      </c>
      <c r="E180" s="54">
        <f>Market_Data_Raw!D180+Market_Data_Raw!E180</f>
        <v>209</v>
      </c>
      <c r="F180" s="55">
        <f>IF(Market_Data_Raw!F180&lt;0.8,-1,IF(Market_Data_Raw!F180&gt;1,1,0))</f>
        <v>-1</v>
      </c>
      <c r="G180" s="55">
        <f>IF(Market_Data_Raw!B181&gt;Market_Data_Raw!B180,1,-1)</f>
        <v>-1</v>
      </c>
    </row>
    <row r="181" spans="1:7" x14ac:dyDescent="0.3">
      <c r="A181" s="44">
        <f>Market_Data_Raw!A181</f>
        <v>45836</v>
      </c>
      <c r="B181" s="45">
        <f>Market_Data_Raw!B181</f>
        <v>23813.06</v>
      </c>
      <c r="C181" s="46">
        <f>LN(Market_Data_Raw!B181/Market_Data_Raw!B180)</f>
        <v>-1.9495485652598181E-3</v>
      </c>
      <c r="D181" s="47" t="str">
        <f>IF(Market_Data_Raw!C181&gt;20,"High Risk","Stable")</f>
        <v>High Risk</v>
      </c>
      <c r="E181" s="48">
        <f>Market_Data_Raw!D181+Market_Data_Raw!E181</f>
        <v>866</v>
      </c>
      <c r="F181" s="49">
        <f>IF(Market_Data_Raw!F181&lt;0.8,-1,IF(Market_Data_Raw!F181&gt;1,1,0))</f>
        <v>0</v>
      </c>
      <c r="G181" s="49">
        <f>IF(Market_Data_Raw!B182&gt;Market_Data_Raw!B181,1,-1)</f>
        <v>1</v>
      </c>
    </row>
    <row r="182" spans="1:7" x14ac:dyDescent="0.3">
      <c r="A182" s="50">
        <f>Market_Data_Raw!A182</f>
        <v>45837</v>
      </c>
      <c r="B182" s="51">
        <f>Market_Data_Raw!B182</f>
        <v>24377.38</v>
      </c>
      <c r="C182" s="52">
        <f>LN(Market_Data_Raw!B182/Market_Data_Raw!B181)</f>
        <v>2.3421483472211738E-2</v>
      </c>
      <c r="D182" s="53" t="str">
        <f>IF(Market_Data_Raw!C182&gt;20,"High Risk","Stable")</f>
        <v>High Risk</v>
      </c>
      <c r="E182" s="54">
        <f>Market_Data_Raw!D182+Market_Data_Raw!E182</f>
        <v>2504</v>
      </c>
      <c r="F182" s="55">
        <f>IF(Market_Data_Raw!F182&lt;0.8,-1,IF(Market_Data_Raw!F182&gt;1,1,0))</f>
        <v>0</v>
      </c>
      <c r="G182" s="55">
        <f>IF(Market_Data_Raw!B183&gt;Market_Data_Raw!B182,1,-1)</f>
        <v>1</v>
      </c>
    </row>
    <row r="183" spans="1:7" x14ac:dyDescent="0.3">
      <c r="A183" s="44">
        <f>Market_Data_Raw!A183</f>
        <v>45838</v>
      </c>
      <c r="B183" s="45">
        <f>Market_Data_Raw!B183</f>
        <v>24514.720000000001</v>
      </c>
      <c r="C183" s="46">
        <f>LN(Market_Data_Raw!B183/Market_Data_Raw!B182)</f>
        <v>5.6181003163671903E-3</v>
      </c>
      <c r="D183" s="47" t="str">
        <f>IF(Market_Data_Raw!C183&gt;20,"High Risk","Stable")</f>
        <v>High Risk</v>
      </c>
      <c r="E183" s="48">
        <f>Market_Data_Raw!D183+Market_Data_Raw!E183</f>
        <v>878</v>
      </c>
      <c r="F183" s="49">
        <f>IF(Market_Data_Raw!F183&lt;0.8,-1,IF(Market_Data_Raw!F183&gt;1,1,0))</f>
        <v>0</v>
      </c>
      <c r="G183" s="49">
        <f>IF(Market_Data_Raw!B184&gt;Market_Data_Raw!B183,1,-1)</f>
        <v>-1</v>
      </c>
    </row>
    <row r="184" spans="1:7" x14ac:dyDescent="0.3">
      <c r="A184" s="50">
        <f>Market_Data_Raw!A184</f>
        <v>45839</v>
      </c>
      <c r="B184" s="51">
        <f>Market_Data_Raw!B184</f>
        <v>24344.06</v>
      </c>
      <c r="C184" s="52">
        <f>LN(Market_Data_Raw!B184/Market_Data_Raw!B183)</f>
        <v>-6.9858761946917985E-3</v>
      </c>
      <c r="D184" s="53" t="str">
        <f>IF(Market_Data_Raw!C184&gt;20,"High Risk","Stable")</f>
        <v>High Risk</v>
      </c>
      <c r="E184" s="54">
        <f>Market_Data_Raw!D184+Market_Data_Raw!E184</f>
        <v>-201</v>
      </c>
      <c r="F184" s="55">
        <f>IF(Market_Data_Raw!F184&lt;0.8,-1,IF(Market_Data_Raw!F184&gt;1,1,0))</f>
        <v>0</v>
      </c>
      <c r="G184" s="55">
        <f>IF(Market_Data_Raw!B185&gt;Market_Data_Raw!B184,1,-1)</f>
        <v>-1</v>
      </c>
    </row>
    <row r="185" spans="1:7" x14ac:dyDescent="0.3">
      <c r="A185" s="44">
        <f>Market_Data_Raw!A185</f>
        <v>45840</v>
      </c>
      <c r="B185" s="45">
        <f>Market_Data_Raw!B185</f>
        <v>24130.71</v>
      </c>
      <c r="C185" s="46">
        <f>LN(Market_Data_Raw!B185/Market_Data_Raw!B184)</f>
        <v>-8.8025741070036842E-3</v>
      </c>
      <c r="D185" s="47" t="str">
        <f>IF(Market_Data_Raw!C185&gt;20,"High Risk","Stable")</f>
        <v>Stable</v>
      </c>
      <c r="E185" s="48">
        <f>Market_Data_Raw!D185+Market_Data_Raw!E185</f>
        <v>312</v>
      </c>
      <c r="F185" s="49">
        <f>IF(Market_Data_Raw!F185&lt;0.8,-1,IF(Market_Data_Raw!F185&gt;1,1,0))</f>
        <v>1</v>
      </c>
      <c r="G185" s="49">
        <f>IF(Market_Data_Raw!B186&gt;Market_Data_Raw!B185,1,-1)</f>
        <v>1</v>
      </c>
    </row>
    <row r="186" spans="1:7" x14ac:dyDescent="0.3">
      <c r="A186" s="50">
        <f>Market_Data_Raw!A186</f>
        <v>45841</v>
      </c>
      <c r="B186" s="51">
        <f>Market_Data_Raw!B186</f>
        <v>24237.14</v>
      </c>
      <c r="C186" s="52">
        <f>LN(Market_Data_Raw!B186/Market_Data_Raw!B185)</f>
        <v>4.400864283794912E-3</v>
      </c>
      <c r="D186" s="53" t="str">
        <f>IF(Market_Data_Raw!C186&gt;20,"High Risk","Stable")</f>
        <v>Stable</v>
      </c>
      <c r="E186" s="54">
        <f>Market_Data_Raw!D186+Market_Data_Raw!E186</f>
        <v>-469</v>
      </c>
      <c r="F186" s="55">
        <f>IF(Market_Data_Raw!F186&lt;0.8,-1,IF(Market_Data_Raw!F186&gt;1,1,0))</f>
        <v>1</v>
      </c>
      <c r="G186" s="55">
        <f>IF(Market_Data_Raw!B187&gt;Market_Data_Raw!B186,1,-1)</f>
        <v>-1</v>
      </c>
    </row>
    <row r="187" spans="1:7" x14ac:dyDescent="0.3">
      <c r="A187" s="44">
        <f>Market_Data_Raw!A187</f>
        <v>45842</v>
      </c>
      <c r="B187" s="45">
        <f>Market_Data_Raw!B187</f>
        <v>24198.41</v>
      </c>
      <c r="C187" s="46">
        <f>LN(Market_Data_Raw!B187/Market_Data_Raw!B186)</f>
        <v>-1.5992389166445532E-3</v>
      </c>
      <c r="D187" s="47" t="str">
        <f>IF(Market_Data_Raw!C187&gt;20,"High Risk","Stable")</f>
        <v>Stable</v>
      </c>
      <c r="E187" s="48">
        <f>Market_Data_Raw!D187+Market_Data_Raw!E187</f>
        <v>-821</v>
      </c>
      <c r="F187" s="49">
        <f>IF(Market_Data_Raw!F187&lt;0.8,-1,IF(Market_Data_Raw!F187&gt;1,1,0))</f>
        <v>-1</v>
      </c>
      <c r="G187" s="49">
        <f>IF(Market_Data_Raw!B188&gt;Market_Data_Raw!B187,1,-1)</f>
        <v>1</v>
      </c>
    </row>
    <row r="188" spans="1:7" x14ac:dyDescent="0.3">
      <c r="A188" s="50">
        <f>Market_Data_Raw!A188</f>
        <v>45843</v>
      </c>
      <c r="B188" s="51">
        <f>Market_Data_Raw!B188</f>
        <v>24353.02</v>
      </c>
      <c r="C188" s="52">
        <f>LN(Market_Data_Raw!B188/Market_Data_Raw!B187)</f>
        <v>6.3689379540365796E-3</v>
      </c>
      <c r="D188" s="53" t="str">
        <f>IF(Market_Data_Raw!C188&gt;20,"High Risk","Stable")</f>
        <v>High Risk</v>
      </c>
      <c r="E188" s="54">
        <f>Market_Data_Raw!D188+Market_Data_Raw!E188</f>
        <v>346</v>
      </c>
      <c r="F188" s="55">
        <f>IF(Market_Data_Raw!F188&lt;0.8,-1,IF(Market_Data_Raw!F188&gt;1,1,0))</f>
        <v>0</v>
      </c>
      <c r="G188" s="55">
        <f>IF(Market_Data_Raw!B189&gt;Market_Data_Raw!B188,1,-1)</f>
        <v>1</v>
      </c>
    </row>
    <row r="189" spans="1:7" x14ac:dyDescent="0.3">
      <c r="A189" s="44">
        <f>Market_Data_Raw!A189</f>
        <v>45844</v>
      </c>
      <c r="B189" s="45">
        <f>Market_Data_Raw!B189</f>
        <v>24458.51</v>
      </c>
      <c r="C189" s="46">
        <f>LN(Market_Data_Raw!B189/Market_Data_Raw!B188)</f>
        <v>4.3223461438820499E-3</v>
      </c>
      <c r="D189" s="47" t="str">
        <f>IF(Market_Data_Raw!C189&gt;20,"High Risk","Stable")</f>
        <v>High Risk</v>
      </c>
      <c r="E189" s="48">
        <f>Market_Data_Raw!D189+Market_Data_Raw!E189</f>
        <v>408</v>
      </c>
      <c r="F189" s="49">
        <f>IF(Market_Data_Raw!F189&lt;0.8,-1,IF(Market_Data_Raw!F189&gt;1,1,0))</f>
        <v>1</v>
      </c>
      <c r="G189" s="49">
        <f>IF(Market_Data_Raw!B190&gt;Market_Data_Raw!B189,1,-1)</f>
        <v>-1</v>
      </c>
    </row>
    <row r="190" spans="1:7" x14ac:dyDescent="0.3">
      <c r="A190" s="50">
        <f>Market_Data_Raw!A190</f>
        <v>45845</v>
      </c>
      <c r="B190" s="51">
        <f>Market_Data_Raw!B190</f>
        <v>24450.71</v>
      </c>
      <c r="C190" s="52">
        <f>LN(Market_Data_Raw!B190/Market_Data_Raw!B189)</f>
        <v>-3.1895826865062642E-4</v>
      </c>
      <c r="D190" s="53" t="str">
        <f>IF(Market_Data_Raw!C190&gt;20,"High Risk","Stable")</f>
        <v>High Risk</v>
      </c>
      <c r="E190" s="54">
        <f>Market_Data_Raw!D190+Market_Data_Raw!E190</f>
        <v>-406</v>
      </c>
      <c r="F190" s="55">
        <f>IF(Market_Data_Raw!F190&lt;0.8,-1,IF(Market_Data_Raw!F190&gt;1,1,0))</f>
        <v>0</v>
      </c>
      <c r="G190" s="55">
        <f>IF(Market_Data_Raw!B191&gt;Market_Data_Raw!B190,1,-1)</f>
        <v>-1</v>
      </c>
    </row>
    <row r="191" spans="1:7" x14ac:dyDescent="0.3">
      <c r="A191" s="44">
        <f>Market_Data_Raw!A191</f>
        <v>45846</v>
      </c>
      <c r="B191" s="45">
        <f>Market_Data_Raw!B191</f>
        <v>24282.639999999999</v>
      </c>
      <c r="C191" s="46">
        <f>LN(Market_Data_Raw!B191/Market_Data_Raw!B190)</f>
        <v>-6.8975626073799479E-3</v>
      </c>
      <c r="D191" s="47" t="str">
        <f>IF(Market_Data_Raw!C191&gt;20,"High Risk","Stable")</f>
        <v>Stable</v>
      </c>
      <c r="E191" s="48">
        <f>Market_Data_Raw!D191+Market_Data_Raw!E191</f>
        <v>73</v>
      </c>
      <c r="F191" s="49">
        <f>IF(Market_Data_Raw!F191&lt;0.8,-1,IF(Market_Data_Raw!F191&gt;1,1,0))</f>
        <v>0</v>
      </c>
      <c r="G191" s="49">
        <f>IF(Market_Data_Raw!B192&gt;Market_Data_Raw!B191,1,-1)</f>
        <v>-1</v>
      </c>
    </row>
    <row r="192" spans="1:7" x14ac:dyDescent="0.3">
      <c r="A192" s="50">
        <f>Market_Data_Raw!A192</f>
        <v>45847</v>
      </c>
      <c r="B192" s="51">
        <f>Market_Data_Raw!B192</f>
        <v>23979.17</v>
      </c>
      <c r="C192" s="52">
        <f>LN(Market_Data_Raw!B192/Market_Data_Raw!B191)</f>
        <v>-1.2576154923148539E-2</v>
      </c>
      <c r="D192" s="53" t="str">
        <f>IF(Market_Data_Raw!C192&gt;20,"High Risk","Stable")</f>
        <v>Stable</v>
      </c>
      <c r="E192" s="54">
        <f>Market_Data_Raw!D192+Market_Data_Raw!E192</f>
        <v>-94</v>
      </c>
      <c r="F192" s="55">
        <f>IF(Market_Data_Raw!F192&lt;0.8,-1,IF(Market_Data_Raw!F192&gt;1,1,0))</f>
        <v>0</v>
      </c>
      <c r="G192" s="55">
        <f>IF(Market_Data_Raw!B193&gt;Market_Data_Raw!B192,1,-1)</f>
        <v>-1</v>
      </c>
    </row>
    <row r="193" spans="1:7" x14ac:dyDescent="0.3">
      <c r="A193" s="44">
        <f>Market_Data_Raw!A193</f>
        <v>45848</v>
      </c>
      <c r="B193" s="45">
        <f>Market_Data_Raw!B193</f>
        <v>23895.5</v>
      </c>
      <c r="C193" s="46">
        <f>LN(Market_Data_Raw!B193/Market_Data_Raw!B192)</f>
        <v>-3.4953801326576004E-3</v>
      </c>
      <c r="D193" s="47" t="str">
        <f>IF(Market_Data_Raw!C193&gt;20,"High Risk","Stable")</f>
        <v>Stable</v>
      </c>
      <c r="E193" s="48">
        <f>Market_Data_Raw!D193+Market_Data_Raw!E193</f>
        <v>-116</v>
      </c>
      <c r="F193" s="49">
        <f>IF(Market_Data_Raw!F193&lt;0.8,-1,IF(Market_Data_Raw!F193&gt;1,1,0))</f>
        <v>-1</v>
      </c>
      <c r="G193" s="49">
        <f>IF(Market_Data_Raw!B194&gt;Market_Data_Raw!B193,1,-1)</f>
        <v>1</v>
      </c>
    </row>
    <row r="194" spans="1:7" x14ac:dyDescent="0.3">
      <c r="A194" s="50">
        <f>Market_Data_Raw!A194</f>
        <v>45849</v>
      </c>
      <c r="B194" s="51">
        <f>Market_Data_Raw!B194</f>
        <v>24077.3</v>
      </c>
      <c r="C194" s="52">
        <f>LN(Market_Data_Raw!B194/Market_Data_Raw!B193)</f>
        <v>7.5793312172744796E-3</v>
      </c>
      <c r="D194" s="53" t="str">
        <f>IF(Market_Data_Raw!C194&gt;20,"High Risk","Stable")</f>
        <v>Stable</v>
      </c>
      <c r="E194" s="54">
        <f>Market_Data_Raw!D194+Market_Data_Raw!E194</f>
        <v>-167</v>
      </c>
      <c r="F194" s="55">
        <f>IF(Market_Data_Raw!F194&lt;0.8,-1,IF(Market_Data_Raw!F194&gt;1,1,0))</f>
        <v>0</v>
      </c>
      <c r="G194" s="55">
        <f>IF(Market_Data_Raw!B195&gt;Market_Data_Raw!B194,1,-1)</f>
        <v>1</v>
      </c>
    </row>
    <row r="195" spans="1:7" x14ac:dyDescent="0.3">
      <c r="A195" s="44">
        <f>Market_Data_Raw!A195</f>
        <v>45850</v>
      </c>
      <c r="B195" s="45">
        <f>Market_Data_Raw!B195</f>
        <v>24128.39</v>
      </c>
      <c r="C195" s="46">
        <f>LN(Market_Data_Raw!B195/Market_Data_Raw!B194)</f>
        <v>2.1196675798607488E-3</v>
      </c>
      <c r="D195" s="47" t="str">
        <f>IF(Market_Data_Raw!C195&gt;20,"High Risk","Stable")</f>
        <v>Stable</v>
      </c>
      <c r="E195" s="48">
        <f>Market_Data_Raw!D195+Market_Data_Raw!E195</f>
        <v>1128</v>
      </c>
      <c r="F195" s="49">
        <f>IF(Market_Data_Raw!F195&lt;0.8,-1,IF(Market_Data_Raw!F195&gt;1,1,0))</f>
        <v>-1</v>
      </c>
      <c r="G195" s="49">
        <f>IF(Market_Data_Raw!B196&gt;Market_Data_Raw!B195,1,-1)</f>
        <v>-1</v>
      </c>
    </row>
    <row r="196" spans="1:7" x14ac:dyDescent="0.3">
      <c r="A196" s="50">
        <f>Market_Data_Raw!A196</f>
        <v>45851</v>
      </c>
      <c r="B196" s="51">
        <f>Market_Data_Raw!B196</f>
        <v>23881.41</v>
      </c>
      <c r="C196" s="52">
        <f>LN(Market_Data_Raw!B196/Market_Data_Raw!B195)</f>
        <v>-1.0288823480585045E-2</v>
      </c>
      <c r="D196" s="53" t="str">
        <f>IF(Market_Data_Raw!C196&gt;20,"High Risk","Stable")</f>
        <v>Stable</v>
      </c>
      <c r="E196" s="54">
        <f>Market_Data_Raw!D196+Market_Data_Raw!E196</f>
        <v>-364</v>
      </c>
      <c r="F196" s="55">
        <f>IF(Market_Data_Raw!F196&lt;0.8,-1,IF(Market_Data_Raw!F196&gt;1,1,0))</f>
        <v>-1</v>
      </c>
      <c r="G196" s="55">
        <f>IF(Market_Data_Raw!B197&gt;Market_Data_Raw!B196,1,-1)</f>
        <v>1</v>
      </c>
    </row>
    <row r="197" spans="1:7" x14ac:dyDescent="0.3">
      <c r="A197" s="44">
        <f>Market_Data_Raw!A197</f>
        <v>45852</v>
      </c>
      <c r="B197" s="45">
        <f>Market_Data_Raw!B197</f>
        <v>23923.77</v>
      </c>
      <c r="C197" s="46">
        <f>LN(Market_Data_Raw!B197/Market_Data_Raw!B196)</f>
        <v>1.7721933517063414E-3</v>
      </c>
      <c r="D197" s="47" t="str">
        <f>IF(Market_Data_Raw!C197&gt;20,"High Risk","Stable")</f>
        <v>Stable</v>
      </c>
      <c r="E197" s="48">
        <f>Market_Data_Raw!D197+Market_Data_Raw!E197</f>
        <v>445</v>
      </c>
      <c r="F197" s="49">
        <f>IF(Market_Data_Raw!F197&lt;0.8,-1,IF(Market_Data_Raw!F197&gt;1,1,0))</f>
        <v>0</v>
      </c>
      <c r="G197" s="49">
        <f>IF(Market_Data_Raw!B198&gt;Market_Data_Raw!B197,1,-1)</f>
        <v>1</v>
      </c>
    </row>
    <row r="198" spans="1:7" x14ac:dyDescent="0.3">
      <c r="A198" s="50">
        <f>Market_Data_Raw!A198</f>
        <v>45853</v>
      </c>
      <c r="B198" s="51">
        <f>Market_Data_Raw!B198</f>
        <v>24009.46</v>
      </c>
      <c r="C198" s="52">
        <f>LN(Market_Data_Raw!B198/Market_Data_Raw!B197)</f>
        <v>3.5753939922017366E-3</v>
      </c>
      <c r="D198" s="53" t="str">
        <f>IF(Market_Data_Raw!C198&gt;20,"High Risk","Stable")</f>
        <v>Stable</v>
      </c>
      <c r="E198" s="54">
        <f>Market_Data_Raw!D198+Market_Data_Raw!E198</f>
        <v>1504</v>
      </c>
      <c r="F198" s="55">
        <f>IF(Market_Data_Raw!F198&lt;0.8,-1,IF(Market_Data_Raw!F198&gt;1,1,0))</f>
        <v>-1</v>
      </c>
      <c r="G198" s="55">
        <f>IF(Market_Data_Raw!B199&gt;Market_Data_Raw!B198,1,-1)</f>
        <v>-1</v>
      </c>
    </row>
    <row r="199" spans="1:7" x14ac:dyDescent="0.3">
      <c r="A199" s="44">
        <f>Market_Data_Raw!A199</f>
        <v>45854</v>
      </c>
      <c r="B199" s="45">
        <f>Market_Data_Raw!B199</f>
        <v>23836.91</v>
      </c>
      <c r="C199" s="46">
        <f>LN(Market_Data_Raw!B199/Market_Data_Raw!B198)</f>
        <v>-7.2126996487824804E-3</v>
      </c>
      <c r="D199" s="47" t="str">
        <f>IF(Market_Data_Raw!C199&gt;20,"High Risk","Stable")</f>
        <v>Stable</v>
      </c>
      <c r="E199" s="48">
        <f>Market_Data_Raw!D199+Market_Data_Raw!E199</f>
        <v>-811</v>
      </c>
      <c r="F199" s="49">
        <f>IF(Market_Data_Raw!F199&lt;0.8,-1,IF(Market_Data_Raw!F199&gt;1,1,0))</f>
        <v>0</v>
      </c>
      <c r="G199" s="49">
        <f>IF(Market_Data_Raw!B200&gt;Market_Data_Raw!B199,1,-1)</f>
        <v>1</v>
      </c>
    </row>
    <row r="200" spans="1:7" x14ac:dyDescent="0.3">
      <c r="A200" s="50">
        <f>Market_Data_Raw!A200</f>
        <v>45855</v>
      </c>
      <c r="B200" s="51">
        <f>Market_Data_Raw!B200</f>
        <v>23875.24</v>
      </c>
      <c r="C200" s="52">
        <f>LN(Market_Data_Raw!B200/Market_Data_Raw!B199)</f>
        <v>1.6067189697336792E-3</v>
      </c>
      <c r="D200" s="53" t="str">
        <f>IF(Market_Data_Raw!C200&gt;20,"High Risk","Stable")</f>
        <v>Stable</v>
      </c>
      <c r="E200" s="54">
        <f>Market_Data_Raw!D200+Market_Data_Raw!E200</f>
        <v>-372</v>
      </c>
      <c r="F200" s="55">
        <f>IF(Market_Data_Raw!F200&lt;0.8,-1,IF(Market_Data_Raw!F200&gt;1,1,0))</f>
        <v>0</v>
      </c>
      <c r="G200" s="55">
        <f>IF(Market_Data_Raw!B201&gt;Market_Data_Raw!B200,1,-1)</f>
        <v>1</v>
      </c>
    </row>
    <row r="201" spans="1:7" x14ac:dyDescent="0.3">
      <c r="A201" s="44">
        <f>Market_Data_Raw!A201</f>
        <v>45856</v>
      </c>
      <c r="B201" s="45">
        <f>Market_Data_Raw!B201</f>
        <v>23894.22</v>
      </c>
      <c r="C201" s="46">
        <f>LN(Market_Data_Raw!B201/Market_Data_Raw!B200)</f>
        <v>7.9465001273928569E-4</v>
      </c>
      <c r="D201" s="47" t="str">
        <f>IF(Market_Data_Raw!C201&gt;20,"High Risk","Stable")</f>
        <v>Stable</v>
      </c>
      <c r="E201" s="48">
        <f>Market_Data_Raw!D201+Market_Data_Raw!E201</f>
        <v>-518</v>
      </c>
      <c r="F201" s="49">
        <f>IF(Market_Data_Raw!F201&lt;0.8,-1,IF(Market_Data_Raw!F201&gt;1,1,0))</f>
        <v>0</v>
      </c>
      <c r="G201" s="49">
        <f>IF(Market_Data_Raw!B202&gt;Market_Data_Raw!B201,1,-1)</f>
        <v>-1</v>
      </c>
    </row>
    <row r="202" spans="1:7" x14ac:dyDescent="0.3">
      <c r="A202" s="50">
        <f>Market_Data_Raw!A202</f>
        <v>45857</v>
      </c>
      <c r="B202" s="51">
        <f>Market_Data_Raw!B202</f>
        <v>23670.31</v>
      </c>
      <c r="C202" s="52">
        <f>LN(Market_Data_Raw!B202/Market_Data_Raw!B201)</f>
        <v>-9.4150684979614919E-3</v>
      </c>
      <c r="D202" s="53" t="str">
        <f>IF(Market_Data_Raw!C202&gt;20,"High Risk","Stable")</f>
        <v>Stable</v>
      </c>
      <c r="E202" s="54">
        <f>Market_Data_Raw!D202+Market_Data_Raw!E202</f>
        <v>-5</v>
      </c>
      <c r="F202" s="55">
        <f>IF(Market_Data_Raw!F202&lt;0.8,-1,IF(Market_Data_Raw!F202&gt;1,1,0))</f>
        <v>0</v>
      </c>
      <c r="G202" s="55">
        <f>IF(Market_Data_Raw!B203&gt;Market_Data_Raw!B202,1,-1)</f>
        <v>1</v>
      </c>
    </row>
    <row r="203" spans="1:7" x14ac:dyDescent="0.3">
      <c r="A203" s="44">
        <f>Market_Data_Raw!A203</f>
        <v>45858</v>
      </c>
      <c r="B203" s="45">
        <f>Market_Data_Raw!B203</f>
        <v>23749.53</v>
      </c>
      <c r="C203" s="46">
        <f>LN(Market_Data_Raw!B203/Market_Data_Raw!B202)</f>
        <v>3.3412206240836725E-3</v>
      </c>
      <c r="D203" s="47" t="str">
        <f>IF(Market_Data_Raw!C203&gt;20,"High Risk","Stable")</f>
        <v>Stable</v>
      </c>
      <c r="E203" s="48">
        <f>Market_Data_Raw!D203+Market_Data_Raw!E203</f>
        <v>434</v>
      </c>
      <c r="F203" s="49">
        <f>IF(Market_Data_Raw!F203&lt;0.8,-1,IF(Market_Data_Raw!F203&gt;1,1,0))</f>
        <v>0</v>
      </c>
      <c r="G203" s="49">
        <f>IF(Market_Data_Raw!B204&gt;Market_Data_Raw!B203,1,-1)</f>
        <v>1</v>
      </c>
    </row>
    <row r="204" spans="1:7" x14ac:dyDescent="0.3">
      <c r="A204" s="50">
        <f>Market_Data_Raw!A204</f>
        <v>45859</v>
      </c>
      <c r="B204" s="51">
        <f>Market_Data_Raw!B204</f>
        <v>23870.17</v>
      </c>
      <c r="C204" s="52">
        <f>LN(Market_Data_Raw!B204/Market_Data_Raw!B203)</f>
        <v>5.06682142457385E-3</v>
      </c>
      <c r="D204" s="53" t="str">
        <f>IF(Market_Data_Raw!C204&gt;20,"High Risk","Stable")</f>
        <v>Stable</v>
      </c>
      <c r="E204" s="54">
        <f>Market_Data_Raw!D204+Market_Data_Raw!E204</f>
        <v>169</v>
      </c>
      <c r="F204" s="55">
        <f>IF(Market_Data_Raw!F204&lt;0.8,-1,IF(Market_Data_Raw!F204&gt;1,1,0))</f>
        <v>0</v>
      </c>
      <c r="G204" s="55">
        <f>IF(Market_Data_Raw!B205&gt;Market_Data_Raw!B204,1,-1)</f>
        <v>1</v>
      </c>
    </row>
    <row r="205" spans="1:7" x14ac:dyDescent="0.3">
      <c r="A205" s="44">
        <f>Market_Data_Raw!A205</f>
        <v>45860</v>
      </c>
      <c r="B205" s="45">
        <f>Market_Data_Raw!B205</f>
        <v>24098.16</v>
      </c>
      <c r="C205" s="46">
        <f>LN(Market_Data_Raw!B205/Market_Data_Raw!B204)</f>
        <v>9.5059267984670074E-3</v>
      </c>
      <c r="D205" s="47" t="str">
        <f>IF(Market_Data_Raw!C205&gt;20,"High Risk","Stable")</f>
        <v>Stable</v>
      </c>
      <c r="E205" s="48">
        <f>Market_Data_Raw!D205+Market_Data_Raw!E205</f>
        <v>1214</v>
      </c>
      <c r="F205" s="49">
        <f>IF(Market_Data_Raw!F205&lt;0.8,-1,IF(Market_Data_Raw!F205&gt;1,1,0))</f>
        <v>0</v>
      </c>
      <c r="G205" s="49">
        <f>IF(Market_Data_Raw!B206&gt;Market_Data_Raw!B205,1,-1)</f>
        <v>1</v>
      </c>
    </row>
    <row r="206" spans="1:7" x14ac:dyDescent="0.3">
      <c r="A206" s="50">
        <f>Market_Data_Raw!A206</f>
        <v>45861</v>
      </c>
      <c r="B206" s="51">
        <f>Market_Data_Raw!B206</f>
        <v>24322.28</v>
      </c>
      <c r="C206" s="52">
        <f>LN(Market_Data_Raw!B206/Market_Data_Raw!B205)</f>
        <v>9.2573136695168461E-3</v>
      </c>
      <c r="D206" s="53" t="str">
        <f>IF(Market_Data_Raw!C206&gt;20,"High Risk","Stable")</f>
        <v>Stable</v>
      </c>
      <c r="E206" s="54">
        <f>Market_Data_Raw!D206+Market_Data_Raw!E206</f>
        <v>-179</v>
      </c>
      <c r="F206" s="55">
        <f>IF(Market_Data_Raw!F206&lt;0.8,-1,IF(Market_Data_Raw!F206&gt;1,1,0))</f>
        <v>0</v>
      </c>
      <c r="G206" s="55">
        <f>IF(Market_Data_Raw!B207&gt;Market_Data_Raw!B206,1,-1)</f>
        <v>-1</v>
      </c>
    </row>
    <row r="207" spans="1:7" x14ac:dyDescent="0.3">
      <c r="A207" s="44">
        <f>Market_Data_Raw!A207</f>
        <v>45862</v>
      </c>
      <c r="B207" s="45">
        <f>Market_Data_Raw!B207</f>
        <v>24046.34</v>
      </c>
      <c r="C207" s="46">
        <f>LN(Market_Data_Raw!B207/Market_Data_Raw!B206)</f>
        <v>-1.1410000685122773E-2</v>
      </c>
      <c r="D207" s="47" t="str">
        <f>IF(Market_Data_Raw!C207&gt;20,"High Risk","Stable")</f>
        <v>Stable</v>
      </c>
      <c r="E207" s="48">
        <f>Market_Data_Raw!D207+Market_Data_Raw!E207</f>
        <v>-134</v>
      </c>
      <c r="F207" s="49">
        <f>IF(Market_Data_Raw!F207&lt;0.8,-1,IF(Market_Data_Raw!F207&gt;1,1,0))</f>
        <v>0</v>
      </c>
      <c r="G207" s="49">
        <f>IF(Market_Data_Raw!B208&gt;Market_Data_Raw!B207,1,-1)</f>
        <v>-1</v>
      </c>
    </row>
    <row r="208" spans="1:7" x14ac:dyDescent="0.3">
      <c r="A208" s="50">
        <f>Market_Data_Raw!A208</f>
        <v>45863</v>
      </c>
      <c r="B208" s="51">
        <f>Market_Data_Raw!B208</f>
        <v>23862.57</v>
      </c>
      <c r="C208" s="52">
        <f>LN(Market_Data_Raw!B208/Market_Data_Raw!B207)</f>
        <v>-7.6716794980009086E-3</v>
      </c>
      <c r="D208" s="53" t="str">
        <f>IF(Market_Data_Raw!C208&gt;20,"High Risk","Stable")</f>
        <v>Stable</v>
      </c>
      <c r="E208" s="54">
        <f>Market_Data_Raw!D208+Market_Data_Raw!E208</f>
        <v>-752</v>
      </c>
      <c r="F208" s="55">
        <f>IF(Market_Data_Raw!F208&lt;0.8,-1,IF(Market_Data_Raw!F208&gt;1,1,0))</f>
        <v>0</v>
      </c>
      <c r="G208" s="55">
        <f>IF(Market_Data_Raw!B209&gt;Market_Data_Raw!B208,1,-1)</f>
        <v>1</v>
      </c>
    </row>
    <row r="209" spans="1:7" x14ac:dyDescent="0.3">
      <c r="A209" s="44">
        <f>Market_Data_Raw!A209</f>
        <v>45864</v>
      </c>
      <c r="B209" s="45">
        <f>Market_Data_Raw!B209</f>
        <v>23974.46</v>
      </c>
      <c r="C209" s="46">
        <f>LN(Market_Data_Raw!B209/Market_Data_Raw!B208)</f>
        <v>4.6779745333195132E-3</v>
      </c>
      <c r="D209" s="47" t="str">
        <f>IF(Market_Data_Raw!C209&gt;20,"High Risk","Stable")</f>
        <v>Stable</v>
      </c>
      <c r="E209" s="48">
        <f>Market_Data_Raw!D209+Market_Data_Raw!E209</f>
        <v>1201</v>
      </c>
      <c r="F209" s="49">
        <f>IF(Market_Data_Raw!F209&lt;0.8,-1,IF(Market_Data_Raw!F209&gt;1,1,0))</f>
        <v>0</v>
      </c>
      <c r="G209" s="49">
        <f>IF(Market_Data_Raw!B210&gt;Market_Data_Raw!B209,1,-1)</f>
        <v>1</v>
      </c>
    </row>
    <row r="210" spans="1:7" x14ac:dyDescent="0.3">
      <c r="A210" s="50">
        <f>Market_Data_Raw!A210</f>
        <v>45865</v>
      </c>
      <c r="B210" s="51">
        <f>Market_Data_Raw!B210</f>
        <v>24086.61</v>
      </c>
      <c r="C210" s="52">
        <f>LN(Market_Data_Raw!B210/Market_Data_Raw!B209)</f>
        <v>4.6669873791567772E-3</v>
      </c>
      <c r="D210" s="53" t="str">
        <f>IF(Market_Data_Raw!C210&gt;20,"High Risk","Stable")</f>
        <v>Stable</v>
      </c>
      <c r="E210" s="54">
        <f>Market_Data_Raw!D210+Market_Data_Raw!E210</f>
        <v>190</v>
      </c>
      <c r="F210" s="55">
        <f>IF(Market_Data_Raw!F210&lt;0.8,-1,IF(Market_Data_Raw!F210&gt;1,1,0))</f>
        <v>-1</v>
      </c>
      <c r="G210" s="55">
        <f>IF(Market_Data_Raw!B211&gt;Market_Data_Raw!B210,1,-1)</f>
        <v>1</v>
      </c>
    </row>
    <row r="211" spans="1:7" x14ac:dyDescent="0.3">
      <c r="A211" s="44">
        <f>Market_Data_Raw!A211</f>
        <v>45866</v>
      </c>
      <c r="B211" s="45">
        <f>Market_Data_Raw!B211</f>
        <v>24199.55</v>
      </c>
      <c r="C211" s="46">
        <f>LN(Market_Data_Raw!B211/Market_Data_Raw!B210)</f>
        <v>4.6779535153663055E-3</v>
      </c>
      <c r="D211" s="47" t="str">
        <f>IF(Market_Data_Raw!C211&gt;20,"High Risk","Stable")</f>
        <v>Stable</v>
      </c>
      <c r="E211" s="48">
        <f>Market_Data_Raw!D211+Market_Data_Raw!E211</f>
        <v>1250</v>
      </c>
      <c r="F211" s="49">
        <f>IF(Market_Data_Raw!F211&lt;0.8,-1,IF(Market_Data_Raw!F211&gt;1,1,0))</f>
        <v>-1</v>
      </c>
      <c r="G211" s="49">
        <f>IF(Market_Data_Raw!B212&gt;Market_Data_Raw!B211,1,-1)</f>
        <v>1</v>
      </c>
    </row>
    <row r="212" spans="1:7" x14ac:dyDescent="0.3">
      <c r="A212" s="50">
        <f>Market_Data_Raw!A212</f>
        <v>45867</v>
      </c>
      <c r="B212" s="51">
        <f>Market_Data_Raw!B212</f>
        <v>25012.66</v>
      </c>
      <c r="C212" s="52">
        <f>LN(Market_Data_Raw!B212/Market_Data_Raw!B211)</f>
        <v>3.3048058742563155E-2</v>
      </c>
      <c r="D212" s="53" t="str">
        <f>IF(Market_Data_Raw!C212&gt;20,"High Risk","Stable")</f>
        <v>Stable</v>
      </c>
      <c r="E212" s="54">
        <f>Market_Data_Raw!D212+Market_Data_Raw!E212</f>
        <v>1508</v>
      </c>
      <c r="F212" s="55">
        <f>IF(Market_Data_Raw!F212&lt;0.8,-1,IF(Market_Data_Raw!F212&gt;1,1,0))</f>
        <v>-1</v>
      </c>
      <c r="G212" s="55">
        <f>IF(Market_Data_Raw!B213&gt;Market_Data_Raw!B212,1,-1)</f>
        <v>1</v>
      </c>
    </row>
    <row r="213" spans="1:7" x14ac:dyDescent="0.3">
      <c r="A213" s="44">
        <f>Market_Data_Raw!A213</f>
        <v>45868</v>
      </c>
      <c r="B213" s="45">
        <f>Market_Data_Raw!B213</f>
        <v>25141.87</v>
      </c>
      <c r="C213" s="46">
        <f>LN(Market_Data_Raw!B213/Market_Data_Raw!B212)</f>
        <v>5.1524871574629878E-3</v>
      </c>
      <c r="D213" s="47" t="str">
        <f>IF(Market_Data_Raw!C213&gt;20,"High Risk","Stable")</f>
        <v>Stable</v>
      </c>
      <c r="E213" s="48">
        <f>Market_Data_Raw!D213+Market_Data_Raw!E213</f>
        <v>1251</v>
      </c>
      <c r="F213" s="49">
        <f>IF(Market_Data_Raw!F213&lt;0.8,-1,IF(Market_Data_Raw!F213&gt;1,1,0))</f>
        <v>1</v>
      </c>
      <c r="G213" s="49">
        <f>IF(Market_Data_Raw!B214&gt;Market_Data_Raw!B213,1,-1)</f>
        <v>1</v>
      </c>
    </row>
    <row r="214" spans="1:7" x14ac:dyDescent="0.3">
      <c r="A214" s="50">
        <f>Market_Data_Raw!A214</f>
        <v>45869</v>
      </c>
      <c r="B214" s="51">
        <f>Market_Data_Raw!B214</f>
        <v>25393.34</v>
      </c>
      <c r="C214" s="52">
        <f>LN(Market_Data_Raw!B214/Market_Data_Raw!B213)</f>
        <v>9.9523510699579595E-3</v>
      </c>
      <c r="D214" s="53" t="str">
        <f>IF(Market_Data_Raw!C214&gt;20,"High Risk","Stable")</f>
        <v>Stable</v>
      </c>
      <c r="E214" s="54">
        <f>Market_Data_Raw!D214+Market_Data_Raw!E214</f>
        <v>1106</v>
      </c>
      <c r="F214" s="55">
        <f>IF(Market_Data_Raw!F214&lt;0.8,-1,IF(Market_Data_Raw!F214&gt;1,1,0))</f>
        <v>-1</v>
      </c>
      <c r="G214" s="55">
        <f>IF(Market_Data_Raw!B215&gt;Market_Data_Raw!B214,1,-1)</f>
        <v>1</v>
      </c>
    </row>
    <row r="215" spans="1:7" x14ac:dyDescent="0.3">
      <c r="A215" s="44">
        <f>Market_Data_Raw!A215</f>
        <v>45870</v>
      </c>
      <c r="B215" s="45">
        <f>Market_Data_Raw!B215</f>
        <v>25607.77</v>
      </c>
      <c r="C215" s="46">
        <f>LN(Market_Data_Raw!B215/Market_Data_Raw!B214)</f>
        <v>8.4088861405549626E-3</v>
      </c>
      <c r="D215" s="47" t="str">
        <f>IF(Market_Data_Raw!C215&gt;20,"High Risk","Stable")</f>
        <v>Stable</v>
      </c>
      <c r="E215" s="48">
        <f>Market_Data_Raw!D215+Market_Data_Raw!E215</f>
        <v>1268</v>
      </c>
      <c r="F215" s="49">
        <f>IF(Market_Data_Raw!F215&lt;0.8,-1,IF(Market_Data_Raw!F215&gt;1,1,0))</f>
        <v>-1</v>
      </c>
      <c r="G215" s="49">
        <f>IF(Market_Data_Raw!B216&gt;Market_Data_Raw!B215,1,-1)</f>
        <v>1</v>
      </c>
    </row>
    <row r="216" spans="1:7" x14ac:dyDescent="0.3">
      <c r="A216" s="50">
        <f>Market_Data_Raw!A216</f>
        <v>45871</v>
      </c>
      <c r="B216" s="51">
        <f>Market_Data_Raw!B216</f>
        <v>25757.68</v>
      </c>
      <c r="C216" s="52">
        <f>LN(Market_Data_Raw!B216/Market_Data_Raw!B215)</f>
        <v>5.8370140095486732E-3</v>
      </c>
      <c r="D216" s="53" t="str">
        <f>IF(Market_Data_Raw!C216&gt;20,"High Risk","Stable")</f>
        <v>Stable</v>
      </c>
      <c r="E216" s="54">
        <f>Market_Data_Raw!D216+Market_Data_Raw!E216</f>
        <v>420</v>
      </c>
      <c r="F216" s="55">
        <f>IF(Market_Data_Raw!F216&lt;0.8,-1,IF(Market_Data_Raw!F216&gt;1,1,0))</f>
        <v>-1</v>
      </c>
      <c r="G216" s="55">
        <f>IF(Market_Data_Raw!B217&gt;Market_Data_Raw!B216,1,-1)</f>
        <v>-1</v>
      </c>
    </row>
    <row r="217" spans="1:7" x14ac:dyDescent="0.3">
      <c r="A217" s="44">
        <f>Market_Data_Raw!A217</f>
        <v>45872</v>
      </c>
      <c r="B217" s="45">
        <f>Market_Data_Raw!B217</f>
        <v>25696.46</v>
      </c>
      <c r="C217" s="46">
        <f>LN(Market_Data_Raw!B217/Market_Data_Raw!B216)</f>
        <v>-2.3795958454680037E-3</v>
      </c>
      <c r="D217" s="47" t="str">
        <f>IF(Market_Data_Raw!C217&gt;20,"High Risk","Stable")</f>
        <v>Stable</v>
      </c>
      <c r="E217" s="48">
        <f>Market_Data_Raw!D217+Market_Data_Raw!E217</f>
        <v>563</v>
      </c>
      <c r="F217" s="49">
        <f>IF(Market_Data_Raw!F217&lt;0.8,-1,IF(Market_Data_Raw!F217&gt;1,1,0))</f>
        <v>0</v>
      </c>
      <c r="G217" s="49">
        <f>IF(Market_Data_Raw!B218&gt;Market_Data_Raw!B217,1,-1)</f>
        <v>1</v>
      </c>
    </row>
    <row r="218" spans="1:7" x14ac:dyDescent="0.3">
      <c r="A218" s="50">
        <f>Market_Data_Raw!A218</f>
        <v>45873</v>
      </c>
      <c r="B218" s="51">
        <f>Market_Data_Raw!B218</f>
        <v>25870.53</v>
      </c>
      <c r="C218" s="52">
        <f>LN(Market_Data_Raw!B218/Market_Data_Raw!B217)</f>
        <v>6.7512438156706687E-3</v>
      </c>
      <c r="D218" s="53" t="str">
        <f>IF(Market_Data_Raw!C218&gt;20,"High Risk","Stable")</f>
        <v>Stable</v>
      </c>
      <c r="E218" s="54">
        <f>Market_Data_Raw!D218+Market_Data_Raw!E218</f>
        <v>492</v>
      </c>
      <c r="F218" s="55">
        <f>IF(Market_Data_Raw!F218&lt;0.8,-1,IF(Market_Data_Raw!F218&gt;1,1,0))</f>
        <v>0</v>
      </c>
      <c r="G218" s="55">
        <f>IF(Market_Data_Raw!B219&gt;Market_Data_Raw!B218,1,-1)</f>
        <v>-1</v>
      </c>
    </row>
    <row r="219" spans="1:7" x14ac:dyDescent="0.3">
      <c r="A219" s="44">
        <f>Market_Data_Raw!A219</f>
        <v>45874</v>
      </c>
      <c r="B219" s="45">
        <f>Market_Data_Raw!B219</f>
        <v>25708.85</v>
      </c>
      <c r="C219" s="46">
        <f>LN(Market_Data_Raw!B219/Market_Data_Raw!B218)</f>
        <v>-6.2691924384909743E-3</v>
      </c>
      <c r="D219" s="47" t="str">
        <f>IF(Market_Data_Raw!C219&gt;20,"High Risk","Stable")</f>
        <v>Stable</v>
      </c>
      <c r="E219" s="48">
        <f>Market_Data_Raw!D219+Market_Data_Raw!E219</f>
        <v>960</v>
      </c>
      <c r="F219" s="49">
        <f>IF(Market_Data_Raw!F219&lt;0.8,-1,IF(Market_Data_Raw!F219&gt;1,1,0))</f>
        <v>1</v>
      </c>
      <c r="G219" s="49">
        <f>IF(Market_Data_Raw!B220&gt;Market_Data_Raw!B219,1,-1)</f>
        <v>-1</v>
      </c>
    </row>
    <row r="220" spans="1:7" x14ac:dyDescent="0.3">
      <c r="A220" s="50">
        <f>Market_Data_Raw!A220</f>
        <v>45875</v>
      </c>
      <c r="B220" s="51">
        <f>Market_Data_Raw!B220</f>
        <v>25664.85</v>
      </c>
      <c r="C220" s="52">
        <f>LN(Market_Data_Raw!B220/Market_Data_Raw!B219)</f>
        <v>-1.7129391404002109E-3</v>
      </c>
      <c r="D220" s="53" t="str">
        <f>IF(Market_Data_Raw!C220&gt;20,"High Risk","Stable")</f>
        <v>Stable</v>
      </c>
      <c r="E220" s="54">
        <f>Market_Data_Raw!D220+Market_Data_Raw!E220</f>
        <v>-189</v>
      </c>
      <c r="F220" s="55">
        <f>IF(Market_Data_Raw!F220&lt;0.8,-1,IF(Market_Data_Raw!F220&gt;1,1,0))</f>
        <v>-1</v>
      </c>
      <c r="G220" s="55">
        <f>IF(Market_Data_Raw!B221&gt;Market_Data_Raw!B220,1,-1)</f>
        <v>-1</v>
      </c>
    </row>
    <row r="221" spans="1:7" x14ac:dyDescent="0.3">
      <c r="A221" s="44">
        <f>Market_Data_Raw!A221</f>
        <v>45876</v>
      </c>
      <c r="B221" s="45">
        <f>Market_Data_Raw!B221</f>
        <v>25566.85</v>
      </c>
      <c r="C221" s="46">
        <f>LN(Market_Data_Raw!B221/Market_Data_Raw!B220)</f>
        <v>-3.8257609851305302E-3</v>
      </c>
      <c r="D221" s="47" t="str">
        <f>IF(Market_Data_Raw!C221&gt;20,"High Risk","Stable")</f>
        <v>Stable</v>
      </c>
      <c r="E221" s="48">
        <f>Market_Data_Raw!D221+Market_Data_Raw!E221</f>
        <v>952</v>
      </c>
      <c r="F221" s="49">
        <f>IF(Market_Data_Raw!F221&lt;0.8,-1,IF(Market_Data_Raw!F221&gt;1,1,0))</f>
        <v>0</v>
      </c>
      <c r="G221" s="49">
        <f>IF(Market_Data_Raw!B222&gt;Market_Data_Raw!B221,1,-1)</f>
        <v>1</v>
      </c>
    </row>
    <row r="222" spans="1:7" x14ac:dyDescent="0.3">
      <c r="A222" s="50">
        <f>Market_Data_Raw!A222</f>
        <v>45877</v>
      </c>
      <c r="B222" s="51">
        <f>Market_Data_Raw!B222</f>
        <v>25592.33</v>
      </c>
      <c r="C222" s="52">
        <f>LN(Market_Data_Raw!B222/Market_Data_Raw!B221)</f>
        <v>9.9610674396394218E-4</v>
      </c>
      <c r="D222" s="53" t="str">
        <f>IF(Market_Data_Raw!C222&gt;20,"High Risk","Stable")</f>
        <v>Stable</v>
      </c>
      <c r="E222" s="54">
        <f>Market_Data_Raw!D222+Market_Data_Raw!E222</f>
        <v>112</v>
      </c>
      <c r="F222" s="55">
        <f>IF(Market_Data_Raw!F222&lt;0.8,-1,IF(Market_Data_Raw!F222&gt;1,1,0))</f>
        <v>-1</v>
      </c>
      <c r="G222" s="55">
        <f>IF(Market_Data_Raw!B223&gt;Market_Data_Raw!B222,1,-1)</f>
        <v>1</v>
      </c>
    </row>
    <row r="223" spans="1:7" x14ac:dyDescent="0.3">
      <c r="A223" s="44">
        <f>Market_Data_Raw!A223</f>
        <v>45878</v>
      </c>
      <c r="B223" s="45">
        <f>Market_Data_Raw!B223</f>
        <v>26108.67</v>
      </c>
      <c r="C223" s="46">
        <f>LN(Market_Data_Raw!B223/Market_Data_Raw!B222)</f>
        <v>1.9974745857173393E-2</v>
      </c>
      <c r="D223" s="47" t="str">
        <f>IF(Market_Data_Raw!C223&gt;20,"High Risk","Stable")</f>
        <v>Stable</v>
      </c>
      <c r="E223" s="48">
        <f>Market_Data_Raw!D223+Market_Data_Raw!E223</f>
        <v>500</v>
      </c>
      <c r="F223" s="49">
        <f>IF(Market_Data_Raw!F223&lt;0.8,-1,IF(Market_Data_Raw!F223&gt;1,1,0))</f>
        <v>1</v>
      </c>
      <c r="G223" s="49">
        <f>IF(Market_Data_Raw!B224&gt;Market_Data_Raw!B223,1,-1)</f>
        <v>-1</v>
      </c>
    </row>
    <row r="224" spans="1:7" x14ac:dyDescent="0.3">
      <c r="A224" s="50">
        <f>Market_Data_Raw!A224</f>
        <v>45879</v>
      </c>
      <c r="B224" s="51">
        <f>Market_Data_Raw!B224</f>
        <v>25705.26</v>
      </c>
      <c r="C224" s="52">
        <f>LN(Market_Data_Raw!B224/Market_Data_Raw!B223)</f>
        <v>-1.5571802855855956E-2</v>
      </c>
      <c r="D224" s="53" t="str">
        <f>IF(Market_Data_Raw!C224&gt;20,"High Risk","Stable")</f>
        <v>Stable</v>
      </c>
      <c r="E224" s="54">
        <f>Market_Data_Raw!D224+Market_Data_Raw!E224</f>
        <v>-440</v>
      </c>
      <c r="F224" s="55">
        <f>IF(Market_Data_Raw!F224&lt;0.8,-1,IF(Market_Data_Raw!F224&gt;1,1,0))</f>
        <v>-1</v>
      </c>
      <c r="G224" s="55">
        <f>IF(Market_Data_Raw!B225&gt;Market_Data_Raw!B224,1,-1)</f>
        <v>1</v>
      </c>
    </row>
    <row r="225" spans="1:7" x14ac:dyDescent="0.3">
      <c r="A225" s="44">
        <f>Market_Data_Raw!A225</f>
        <v>45880</v>
      </c>
      <c r="B225" s="45">
        <f>Market_Data_Raw!B225</f>
        <v>25863.4</v>
      </c>
      <c r="C225" s="46">
        <f>LN(Market_Data_Raw!B225/Market_Data_Raw!B224)</f>
        <v>6.1332016662066172E-3</v>
      </c>
      <c r="D225" s="47" t="str">
        <f>IF(Market_Data_Raw!C225&gt;20,"High Risk","Stable")</f>
        <v>Stable</v>
      </c>
      <c r="E225" s="48">
        <f>Market_Data_Raw!D225+Market_Data_Raw!E225</f>
        <v>-387</v>
      </c>
      <c r="F225" s="49">
        <f>IF(Market_Data_Raw!F225&lt;0.8,-1,IF(Market_Data_Raw!F225&gt;1,1,0))</f>
        <v>0</v>
      </c>
      <c r="G225" s="49">
        <f>IF(Market_Data_Raw!B226&gt;Market_Data_Raw!B225,1,-1)</f>
        <v>-1</v>
      </c>
    </row>
    <row r="226" spans="1:7" x14ac:dyDescent="0.3">
      <c r="A226" s="50">
        <f>Market_Data_Raw!A226</f>
        <v>45881</v>
      </c>
      <c r="B226" s="51">
        <f>Market_Data_Raw!B226</f>
        <v>25518.94</v>
      </c>
      <c r="C226" s="52">
        <f>LN(Market_Data_Raw!B226/Market_Data_Raw!B225)</f>
        <v>-1.3407920322398594E-2</v>
      </c>
      <c r="D226" s="53" t="str">
        <f>IF(Market_Data_Raw!C226&gt;20,"High Risk","Stable")</f>
        <v>Stable</v>
      </c>
      <c r="E226" s="54">
        <f>Market_Data_Raw!D226+Market_Data_Raw!E226</f>
        <v>-519</v>
      </c>
      <c r="F226" s="55">
        <f>IF(Market_Data_Raw!F226&lt;0.8,-1,IF(Market_Data_Raw!F226&gt;1,1,0))</f>
        <v>0</v>
      </c>
      <c r="G226" s="55">
        <f>IF(Market_Data_Raw!B227&gt;Market_Data_Raw!B226,1,-1)</f>
        <v>-1</v>
      </c>
    </row>
    <row r="227" spans="1:7" x14ac:dyDescent="0.3">
      <c r="A227" s="44">
        <f>Market_Data_Raw!A227</f>
        <v>45882</v>
      </c>
      <c r="B227" s="45">
        <f>Market_Data_Raw!B227</f>
        <v>25424.400000000001</v>
      </c>
      <c r="C227" s="46">
        <f>LN(Market_Data_Raw!B227/Market_Data_Raw!B226)</f>
        <v>-3.7115787276785594E-3</v>
      </c>
      <c r="D227" s="47" t="str">
        <f>IF(Market_Data_Raw!C227&gt;20,"High Risk","Stable")</f>
        <v>Stable</v>
      </c>
      <c r="E227" s="48">
        <f>Market_Data_Raw!D227+Market_Data_Raw!E227</f>
        <v>-73</v>
      </c>
      <c r="F227" s="49">
        <f>IF(Market_Data_Raw!F227&lt;0.8,-1,IF(Market_Data_Raw!F227&gt;1,1,0))</f>
        <v>0</v>
      </c>
      <c r="G227" s="49">
        <f>IF(Market_Data_Raw!B228&gt;Market_Data_Raw!B227,1,-1)</f>
        <v>1</v>
      </c>
    </row>
    <row r="228" spans="1:7" x14ac:dyDescent="0.3">
      <c r="A228" s="50">
        <f>Market_Data_Raw!A228</f>
        <v>45883</v>
      </c>
      <c r="B228" s="51">
        <f>Market_Data_Raw!B228</f>
        <v>25668.52</v>
      </c>
      <c r="C228" s="52">
        <f>LN(Market_Data_Raw!B228/Market_Data_Raw!B227)</f>
        <v>9.5559955348166192E-3</v>
      </c>
      <c r="D228" s="53" t="str">
        <f>IF(Market_Data_Raw!C228&gt;20,"High Risk","Stable")</f>
        <v>Stable</v>
      </c>
      <c r="E228" s="54">
        <f>Market_Data_Raw!D228+Market_Data_Raw!E228</f>
        <v>528</v>
      </c>
      <c r="F228" s="55">
        <f>IF(Market_Data_Raw!F228&lt;0.8,-1,IF(Market_Data_Raw!F228&gt;1,1,0))</f>
        <v>0</v>
      </c>
      <c r="G228" s="55">
        <f>IF(Market_Data_Raw!B229&gt;Market_Data_Raw!B228,1,-1)</f>
        <v>1</v>
      </c>
    </row>
    <row r="229" spans="1:7" x14ac:dyDescent="0.3">
      <c r="A229" s="44">
        <f>Market_Data_Raw!A229</f>
        <v>45884</v>
      </c>
      <c r="B229" s="45">
        <f>Market_Data_Raw!B229</f>
        <v>25690.25</v>
      </c>
      <c r="C229" s="46">
        <f>LN(Market_Data_Raw!B229/Market_Data_Raw!B228)</f>
        <v>8.4620411651874781E-4</v>
      </c>
      <c r="D229" s="47" t="str">
        <f>IF(Market_Data_Raw!C229&gt;20,"High Risk","Stable")</f>
        <v>Stable</v>
      </c>
      <c r="E229" s="48">
        <f>Market_Data_Raw!D229+Market_Data_Raw!E229</f>
        <v>-762</v>
      </c>
      <c r="F229" s="49">
        <f>IF(Market_Data_Raw!F229&lt;0.8,-1,IF(Market_Data_Raw!F229&gt;1,1,0))</f>
        <v>0</v>
      </c>
      <c r="G229" s="49">
        <f>IF(Market_Data_Raw!B230&gt;Market_Data_Raw!B229,1,-1)</f>
        <v>-1</v>
      </c>
    </row>
    <row r="230" spans="1:7" x14ac:dyDescent="0.3">
      <c r="A230" s="50">
        <f>Market_Data_Raw!A230</f>
        <v>45885</v>
      </c>
      <c r="B230" s="51">
        <f>Market_Data_Raw!B230</f>
        <v>25463.62</v>
      </c>
      <c r="C230" s="52">
        <f>LN(Market_Data_Raw!B230/Market_Data_Raw!B229)</f>
        <v>-8.8607756475907202E-3</v>
      </c>
      <c r="D230" s="53" t="str">
        <f>IF(Market_Data_Raw!C230&gt;20,"High Risk","Stable")</f>
        <v>Stable</v>
      </c>
      <c r="E230" s="54">
        <f>Market_Data_Raw!D230+Market_Data_Raw!E230</f>
        <v>-479</v>
      </c>
      <c r="F230" s="55">
        <f>IF(Market_Data_Raw!F230&lt;0.8,-1,IF(Market_Data_Raw!F230&gt;1,1,0))</f>
        <v>0</v>
      </c>
      <c r="G230" s="55">
        <f>IF(Market_Data_Raw!B231&gt;Market_Data_Raw!B230,1,-1)</f>
        <v>-1</v>
      </c>
    </row>
    <row r="231" spans="1:7" x14ac:dyDescent="0.3">
      <c r="A231" s="44">
        <f>Market_Data_Raw!A231</f>
        <v>45886</v>
      </c>
      <c r="B231" s="45">
        <f>Market_Data_Raw!B231</f>
        <v>25316.86</v>
      </c>
      <c r="C231" s="46">
        <f>LN(Market_Data_Raw!B231/Market_Data_Raw!B230)</f>
        <v>-5.7801898923110174E-3</v>
      </c>
      <c r="D231" s="47" t="str">
        <f>IF(Market_Data_Raw!C231&gt;20,"High Risk","Stable")</f>
        <v>Stable</v>
      </c>
      <c r="E231" s="48">
        <f>Market_Data_Raw!D231+Market_Data_Raw!E231</f>
        <v>-1196</v>
      </c>
      <c r="F231" s="49">
        <f>IF(Market_Data_Raw!F231&lt;0.8,-1,IF(Market_Data_Raw!F231&gt;1,1,0))</f>
        <v>0</v>
      </c>
      <c r="G231" s="49">
        <f>IF(Market_Data_Raw!B232&gt;Market_Data_Raw!B231,1,-1)</f>
        <v>1</v>
      </c>
    </row>
    <row r="232" spans="1:7" x14ac:dyDescent="0.3">
      <c r="A232" s="50">
        <f>Market_Data_Raw!A232</f>
        <v>45887</v>
      </c>
      <c r="B232" s="51">
        <f>Market_Data_Raw!B232</f>
        <v>25471.17</v>
      </c>
      <c r="C232" s="52">
        <f>LN(Market_Data_Raw!B232/Market_Data_Raw!B231)</f>
        <v>6.0766473845395973E-3</v>
      </c>
      <c r="D232" s="53" t="str">
        <f>IF(Market_Data_Raw!C232&gt;20,"High Risk","Stable")</f>
        <v>High Risk</v>
      </c>
      <c r="E232" s="54">
        <f>Market_Data_Raw!D232+Market_Data_Raw!E232</f>
        <v>-456</v>
      </c>
      <c r="F232" s="55">
        <f>IF(Market_Data_Raw!F232&lt;0.8,-1,IF(Market_Data_Raw!F232&gt;1,1,0))</f>
        <v>1</v>
      </c>
      <c r="G232" s="55">
        <f>IF(Market_Data_Raw!B233&gt;Market_Data_Raw!B232,1,-1)</f>
        <v>-1</v>
      </c>
    </row>
    <row r="233" spans="1:7" x14ac:dyDescent="0.3">
      <c r="A233" s="44">
        <f>Market_Data_Raw!A233</f>
        <v>45888</v>
      </c>
      <c r="B233" s="45">
        <f>Market_Data_Raw!B233</f>
        <v>25321.13</v>
      </c>
      <c r="C233" s="46">
        <f>LN(Market_Data_Raw!B233/Market_Data_Raw!B232)</f>
        <v>-5.9079992999643291E-3</v>
      </c>
      <c r="D233" s="47" t="str">
        <f>IF(Market_Data_Raw!C233&gt;20,"High Risk","Stable")</f>
        <v>High Risk</v>
      </c>
      <c r="E233" s="48">
        <f>Market_Data_Raw!D233+Market_Data_Raw!E233</f>
        <v>18</v>
      </c>
      <c r="F233" s="49">
        <f>IF(Market_Data_Raw!F233&lt;0.8,-1,IF(Market_Data_Raw!F233&gt;1,1,0))</f>
        <v>1</v>
      </c>
      <c r="G233" s="49">
        <f>IF(Market_Data_Raw!B234&gt;Market_Data_Raw!B233,1,-1)</f>
        <v>1</v>
      </c>
    </row>
    <row r="234" spans="1:7" x14ac:dyDescent="0.3">
      <c r="A234" s="50">
        <f>Market_Data_Raw!A234</f>
        <v>45889</v>
      </c>
      <c r="B234" s="51">
        <f>Market_Data_Raw!B234</f>
        <v>25375.37</v>
      </c>
      <c r="C234" s="52">
        <f>LN(Market_Data_Raw!B234/Market_Data_Raw!B233)</f>
        <v>2.1397935043166536E-3</v>
      </c>
      <c r="D234" s="53" t="str">
        <f>IF(Market_Data_Raw!C234&gt;20,"High Risk","Stable")</f>
        <v>High Risk</v>
      </c>
      <c r="E234" s="54">
        <f>Market_Data_Raw!D234+Market_Data_Raw!E234</f>
        <v>768</v>
      </c>
      <c r="F234" s="55">
        <f>IF(Market_Data_Raw!F234&lt;0.8,-1,IF(Market_Data_Raw!F234&gt;1,1,0))</f>
        <v>0</v>
      </c>
      <c r="G234" s="55">
        <f>IF(Market_Data_Raw!B235&gt;Market_Data_Raw!B234,1,-1)</f>
        <v>1</v>
      </c>
    </row>
    <row r="235" spans="1:7" x14ac:dyDescent="0.3">
      <c r="A235" s="44">
        <f>Market_Data_Raw!A235</f>
        <v>45890</v>
      </c>
      <c r="B235" s="45">
        <f>Market_Data_Raw!B235</f>
        <v>25392.82</v>
      </c>
      <c r="C235" s="46">
        <f>LN(Market_Data_Raw!B235/Market_Data_Raw!B234)</f>
        <v>6.8743836198221077E-4</v>
      </c>
      <c r="D235" s="47" t="str">
        <f>IF(Market_Data_Raw!C235&gt;20,"High Risk","Stable")</f>
        <v>High Risk</v>
      </c>
      <c r="E235" s="48">
        <f>Market_Data_Raw!D235+Market_Data_Raw!E235</f>
        <v>126</v>
      </c>
      <c r="F235" s="49">
        <f>IF(Market_Data_Raw!F235&lt;0.8,-1,IF(Market_Data_Raw!F235&gt;1,1,0))</f>
        <v>-1</v>
      </c>
      <c r="G235" s="49">
        <f>IF(Market_Data_Raw!B236&gt;Market_Data_Raw!B235,1,-1)</f>
        <v>-1</v>
      </c>
    </row>
    <row r="236" spans="1:7" x14ac:dyDescent="0.3">
      <c r="A236" s="50">
        <f>Market_Data_Raw!A236</f>
        <v>45891</v>
      </c>
      <c r="B236" s="51">
        <f>Market_Data_Raw!B236</f>
        <v>25260.14</v>
      </c>
      <c r="C236" s="52">
        <f>LN(Market_Data_Raw!B236/Market_Data_Raw!B235)</f>
        <v>-5.2387976319679987E-3</v>
      </c>
      <c r="D236" s="53" t="str">
        <f>IF(Market_Data_Raw!C236&gt;20,"High Risk","Stable")</f>
        <v>Stable</v>
      </c>
      <c r="E236" s="54">
        <f>Market_Data_Raw!D236+Market_Data_Raw!E236</f>
        <v>-420</v>
      </c>
      <c r="F236" s="55">
        <f>IF(Market_Data_Raw!F236&lt;0.8,-1,IF(Market_Data_Raw!F236&gt;1,1,0))</f>
        <v>0</v>
      </c>
      <c r="G236" s="55">
        <f>IF(Market_Data_Raw!B237&gt;Market_Data_Raw!B236,1,-1)</f>
        <v>1</v>
      </c>
    </row>
    <row r="237" spans="1:7" x14ac:dyDescent="0.3">
      <c r="A237" s="44">
        <f>Market_Data_Raw!A237</f>
        <v>45892</v>
      </c>
      <c r="B237" s="45">
        <f>Market_Data_Raw!B237</f>
        <v>25732.41</v>
      </c>
      <c r="C237" s="46">
        <f>LN(Market_Data_Raw!B237/Market_Data_Raw!B236)</f>
        <v>1.8523627623425062E-2</v>
      </c>
      <c r="D237" s="47" t="str">
        <f>IF(Market_Data_Raw!C237&gt;20,"High Risk","Stable")</f>
        <v>Stable</v>
      </c>
      <c r="E237" s="48">
        <f>Market_Data_Raw!D237+Market_Data_Raw!E237</f>
        <v>573</v>
      </c>
      <c r="F237" s="49">
        <f>IF(Market_Data_Raw!F237&lt;0.8,-1,IF(Market_Data_Raw!F237&gt;1,1,0))</f>
        <v>1</v>
      </c>
      <c r="G237" s="49">
        <f>IF(Market_Data_Raw!B238&gt;Market_Data_Raw!B237,1,-1)</f>
        <v>1</v>
      </c>
    </row>
    <row r="238" spans="1:7" x14ac:dyDescent="0.3">
      <c r="A238" s="50">
        <f>Market_Data_Raw!A238</f>
        <v>45893</v>
      </c>
      <c r="B238" s="51">
        <f>Market_Data_Raw!B238</f>
        <v>25879.200000000001</v>
      </c>
      <c r="C238" s="52">
        <f>LN(Market_Data_Raw!B238/Market_Data_Raw!B237)</f>
        <v>5.6882703639623599E-3</v>
      </c>
      <c r="D238" s="53" t="str">
        <f>IF(Market_Data_Raw!C238&gt;20,"High Risk","Stable")</f>
        <v>Stable</v>
      </c>
      <c r="E238" s="54">
        <f>Market_Data_Raw!D238+Market_Data_Raw!E238</f>
        <v>832</v>
      </c>
      <c r="F238" s="55">
        <f>IF(Market_Data_Raw!F238&lt;0.8,-1,IF(Market_Data_Raw!F238&gt;1,1,0))</f>
        <v>-1</v>
      </c>
      <c r="G238" s="55">
        <f>IF(Market_Data_Raw!B239&gt;Market_Data_Raw!B238,1,-1)</f>
        <v>-1</v>
      </c>
    </row>
    <row r="239" spans="1:7" x14ac:dyDescent="0.3">
      <c r="A239" s="44">
        <f>Market_Data_Raw!A239</f>
        <v>45894</v>
      </c>
      <c r="B239" s="45">
        <f>Market_Data_Raw!B239</f>
        <v>25445.17</v>
      </c>
      <c r="C239" s="46">
        <f>LN(Market_Data_Raw!B239/Market_Data_Raw!B238)</f>
        <v>-1.69136161585253E-2</v>
      </c>
      <c r="D239" s="47" t="str">
        <f>IF(Market_Data_Raw!C239&gt;20,"High Risk","Stable")</f>
        <v>Stable</v>
      </c>
      <c r="E239" s="48">
        <f>Market_Data_Raw!D239+Market_Data_Raw!E239</f>
        <v>-1099</v>
      </c>
      <c r="F239" s="49">
        <f>IF(Market_Data_Raw!F239&lt;0.8,-1,IF(Market_Data_Raw!F239&gt;1,1,0))</f>
        <v>1</v>
      </c>
      <c r="G239" s="49">
        <f>IF(Market_Data_Raw!B240&gt;Market_Data_Raw!B239,1,-1)</f>
        <v>1</v>
      </c>
    </row>
    <row r="240" spans="1:7" x14ac:dyDescent="0.3">
      <c r="A240" s="50">
        <f>Market_Data_Raw!A240</f>
        <v>45895</v>
      </c>
      <c r="B240" s="51">
        <f>Market_Data_Raw!B240</f>
        <v>25493.18</v>
      </c>
      <c r="C240" s="52">
        <f>LN(Market_Data_Raw!B240/Market_Data_Raw!B239)</f>
        <v>1.88502431728664E-3</v>
      </c>
      <c r="D240" s="53" t="str">
        <f>IF(Market_Data_Raw!C240&gt;20,"High Risk","Stable")</f>
        <v>Stable</v>
      </c>
      <c r="E240" s="54">
        <f>Market_Data_Raw!D240+Market_Data_Raw!E240</f>
        <v>1134</v>
      </c>
      <c r="F240" s="55">
        <f>IF(Market_Data_Raw!F240&lt;0.8,-1,IF(Market_Data_Raw!F240&gt;1,1,0))</f>
        <v>1</v>
      </c>
      <c r="G240" s="55">
        <f>IF(Market_Data_Raw!B241&gt;Market_Data_Raw!B240,1,-1)</f>
        <v>-1</v>
      </c>
    </row>
    <row r="241" spans="1:7" x14ac:dyDescent="0.3">
      <c r="A241" s="44">
        <f>Market_Data_Raw!A241</f>
        <v>45896</v>
      </c>
      <c r="B241" s="45">
        <f>Market_Data_Raw!B241</f>
        <v>25357.78</v>
      </c>
      <c r="C241" s="46">
        <f>LN(Market_Data_Raw!B241/Market_Data_Raw!B240)</f>
        <v>-5.3253791075478845E-3</v>
      </c>
      <c r="D241" s="47" t="str">
        <f>IF(Market_Data_Raw!C241&gt;20,"High Risk","Stable")</f>
        <v>Stable</v>
      </c>
      <c r="E241" s="48">
        <f>Market_Data_Raw!D241+Market_Data_Raw!E241</f>
        <v>687</v>
      </c>
      <c r="F241" s="49">
        <f>IF(Market_Data_Raw!F241&lt;0.8,-1,IF(Market_Data_Raw!F241&gt;1,1,0))</f>
        <v>-1</v>
      </c>
      <c r="G241" s="49">
        <f>IF(Market_Data_Raw!B242&gt;Market_Data_Raw!B241,1,-1)</f>
        <v>1</v>
      </c>
    </row>
    <row r="242" spans="1:7" x14ac:dyDescent="0.3">
      <c r="A242" s="50">
        <f>Market_Data_Raw!A242</f>
        <v>45897</v>
      </c>
      <c r="B242" s="51">
        <f>Market_Data_Raw!B242</f>
        <v>25549.85</v>
      </c>
      <c r="C242" s="52">
        <f>LN(Market_Data_Raw!B242/Market_Data_Raw!B241)</f>
        <v>7.5458594859438913E-3</v>
      </c>
      <c r="D242" s="53" t="str">
        <f>IF(Market_Data_Raw!C242&gt;20,"High Risk","Stable")</f>
        <v>Stable</v>
      </c>
      <c r="E242" s="54">
        <f>Market_Data_Raw!D242+Market_Data_Raw!E242</f>
        <v>1029</v>
      </c>
      <c r="F242" s="55">
        <f>IF(Market_Data_Raw!F242&lt;0.8,-1,IF(Market_Data_Raw!F242&gt;1,1,0))</f>
        <v>0</v>
      </c>
      <c r="G242" s="55">
        <f>IF(Market_Data_Raw!B243&gt;Market_Data_Raw!B242,1,-1)</f>
        <v>-1</v>
      </c>
    </row>
    <row r="243" spans="1:7" x14ac:dyDescent="0.3">
      <c r="A243" s="44">
        <f>Market_Data_Raw!A243</f>
        <v>45898</v>
      </c>
      <c r="B243" s="45">
        <f>Market_Data_Raw!B243</f>
        <v>25385.93</v>
      </c>
      <c r="C243" s="46">
        <f>LN(Market_Data_Raw!B243/Market_Data_Raw!B242)</f>
        <v>-6.4363622541615002E-3</v>
      </c>
      <c r="D243" s="47" t="str">
        <f>IF(Market_Data_Raw!C243&gt;20,"High Risk","Stable")</f>
        <v>Stable</v>
      </c>
      <c r="E243" s="48">
        <f>Market_Data_Raw!D243+Market_Data_Raw!E243</f>
        <v>215</v>
      </c>
      <c r="F243" s="49">
        <f>IF(Market_Data_Raw!F243&lt;0.8,-1,IF(Market_Data_Raw!F243&gt;1,1,0))</f>
        <v>1</v>
      </c>
      <c r="G243" s="49">
        <f>IF(Market_Data_Raw!B244&gt;Market_Data_Raw!B243,1,-1)</f>
        <v>-1</v>
      </c>
    </row>
    <row r="244" spans="1:7" x14ac:dyDescent="0.3">
      <c r="A244" s="50">
        <f>Market_Data_Raw!A244</f>
        <v>45899</v>
      </c>
      <c r="B244" s="51">
        <f>Market_Data_Raw!B244</f>
        <v>25368.79</v>
      </c>
      <c r="C244" s="52">
        <f>LN(Market_Data_Raw!B244/Market_Data_Raw!B243)</f>
        <v>-6.7540518996328394E-4</v>
      </c>
      <c r="D244" s="53" t="str">
        <f>IF(Market_Data_Raw!C244&gt;20,"High Risk","Stable")</f>
        <v>Stable</v>
      </c>
      <c r="E244" s="54">
        <f>Market_Data_Raw!D244+Market_Data_Raw!E244</f>
        <v>-338</v>
      </c>
      <c r="F244" s="55">
        <f>IF(Market_Data_Raw!F244&lt;0.8,-1,IF(Market_Data_Raw!F244&gt;1,1,0))</f>
        <v>0</v>
      </c>
      <c r="G244" s="55">
        <f>IF(Market_Data_Raw!B245&gt;Market_Data_Raw!B244,1,-1)</f>
        <v>1</v>
      </c>
    </row>
    <row r="245" spans="1:7" x14ac:dyDescent="0.3">
      <c r="A245" s="44">
        <f>Market_Data_Raw!A245</f>
        <v>45900</v>
      </c>
      <c r="B245" s="45">
        <f>Market_Data_Raw!B245</f>
        <v>25485.56</v>
      </c>
      <c r="C245" s="46">
        <f>LN(Market_Data_Raw!B245/Market_Data_Raw!B244)</f>
        <v>4.5923389137441676E-3</v>
      </c>
      <c r="D245" s="47" t="str">
        <f>IF(Market_Data_Raw!C245&gt;20,"High Risk","Stable")</f>
        <v>Stable</v>
      </c>
      <c r="E245" s="48">
        <f>Market_Data_Raw!D245+Market_Data_Raw!E245</f>
        <v>-1006</v>
      </c>
      <c r="F245" s="49">
        <f>IF(Market_Data_Raw!F245&lt;0.8,-1,IF(Market_Data_Raw!F245&gt;1,1,0))</f>
        <v>0</v>
      </c>
      <c r="G245" s="49">
        <f>IF(Market_Data_Raw!B246&gt;Market_Data_Raw!B245,1,-1)</f>
        <v>1</v>
      </c>
    </row>
    <row r="246" spans="1:7" x14ac:dyDescent="0.3">
      <c r="A246" s="50">
        <f>Market_Data_Raw!A246</f>
        <v>45901</v>
      </c>
      <c r="B246" s="51">
        <f>Market_Data_Raw!B246</f>
        <v>25681.5</v>
      </c>
      <c r="C246" s="52">
        <f>LN(Market_Data_Raw!B246/Market_Data_Raw!B245)</f>
        <v>7.6588710702330462E-3</v>
      </c>
      <c r="D246" s="53" t="str">
        <f>IF(Market_Data_Raw!C246&gt;20,"High Risk","Stable")</f>
        <v>Stable</v>
      </c>
      <c r="E246" s="54">
        <f>Market_Data_Raw!D246+Market_Data_Raw!E246</f>
        <v>267</v>
      </c>
      <c r="F246" s="55">
        <f>IF(Market_Data_Raw!F246&lt;0.8,-1,IF(Market_Data_Raw!F246&gt;1,1,0))</f>
        <v>0</v>
      </c>
      <c r="G246" s="55">
        <f>IF(Market_Data_Raw!B247&gt;Market_Data_Raw!B246,1,-1)</f>
        <v>-1</v>
      </c>
    </row>
    <row r="247" spans="1:7" x14ac:dyDescent="0.3">
      <c r="A247" s="44">
        <f>Market_Data_Raw!A247</f>
        <v>45902</v>
      </c>
      <c r="B247" s="45">
        <f>Market_Data_Raw!B247</f>
        <v>25428.44</v>
      </c>
      <c r="C247" s="46">
        <f>LN(Market_Data_Raw!B247/Market_Data_Raw!B246)</f>
        <v>-9.9026556467560686E-3</v>
      </c>
      <c r="D247" s="47" t="str">
        <f>IF(Market_Data_Raw!C247&gt;20,"High Risk","Stable")</f>
        <v>Stable</v>
      </c>
      <c r="E247" s="48">
        <f>Market_Data_Raw!D247+Market_Data_Raw!E247</f>
        <v>-645</v>
      </c>
      <c r="F247" s="49">
        <f>IF(Market_Data_Raw!F247&lt;0.8,-1,IF(Market_Data_Raw!F247&gt;1,1,0))</f>
        <v>-1</v>
      </c>
      <c r="G247" s="49">
        <f>IF(Market_Data_Raw!B248&gt;Market_Data_Raw!B247,1,-1)</f>
        <v>-1</v>
      </c>
    </row>
    <row r="248" spans="1:7" x14ac:dyDescent="0.3">
      <c r="A248" s="50">
        <f>Market_Data_Raw!A248</f>
        <v>45903</v>
      </c>
      <c r="B248" s="51">
        <f>Market_Data_Raw!B248</f>
        <v>25363.85</v>
      </c>
      <c r="C248" s="52">
        <f>LN(Market_Data_Raw!B248/Market_Data_Raw!B247)</f>
        <v>-2.5433007574985999E-3</v>
      </c>
      <c r="D248" s="53" t="str">
        <f>IF(Market_Data_Raw!C248&gt;20,"High Risk","Stable")</f>
        <v>High Risk</v>
      </c>
      <c r="E248" s="54">
        <f>Market_Data_Raw!D248+Market_Data_Raw!E248</f>
        <v>-262</v>
      </c>
      <c r="F248" s="55">
        <f>IF(Market_Data_Raw!F248&lt;0.8,-1,IF(Market_Data_Raw!F248&gt;1,1,0))</f>
        <v>0</v>
      </c>
      <c r="G248" s="55">
        <f>IF(Market_Data_Raw!B249&gt;Market_Data_Raw!B248,1,-1)</f>
        <v>-1</v>
      </c>
    </row>
    <row r="249" spans="1:7" x14ac:dyDescent="0.3">
      <c r="A249" s="44">
        <f>Market_Data_Raw!A249</f>
        <v>45904</v>
      </c>
      <c r="B249" s="45">
        <f>Market_Data_Raw!B249</f>
        <v>25269.24</v>
      </c>
      <c r="C249" s="46">
        <f>LN(Market_Data_Raw!B249/Market_Data_Raw!B248)</f>
        <v>-3.7370861667249413E-3</v>
      </c>
      <c r="D249" s="47" t="str">
        <f>IF(Market_Data_Raw!C249&gt;20,"High Risk","Stable")</f>
        <v>High Risk</v>
      </c>
      <c r="E249" s="48">
        <f>Market_Data_Raw!D249+Market_Data_Raw!E249</f>
        <v>-373</v>
      </c>
      <c r="F249" s="49">
        <f>IF(Market_Data_Raw!F249&lt;0.8,-1,IF(Market_Data_Raw!F249&gt;1,1,0))</f>
        <v>-1</v>
      </c>
      <c r="G249" s="49">
        <f>IF(Market_Data_Raw!B250&gt;Market_Data_Raw!B249,1,-1)</f>
        <v>-1</v>
      </c>
    </row>
    <row r="250" spans="1:7" x14ac:dyDescent="0.3">
      <c r="A250" s="50">
        <f>Market_Data_Raw!A250</f>
        <v>45905</v>
      </c>
      <c r="B250" s="51">
        <f>Market_Data_Raw!B250</f>
        <v>25136.84</v>
      </c>
      <c r="C250" s="52">
        <f>LN(Market_Data_Raw!B250/Market_Data_Raw!B249)</f>
        <v>-5.253346600010869E-3</v>
      </c>
      <c r="D250" s="53" t="str">
        <f>IF(Market_Data_Raw!C250&gt;20,"High Risk","Stable")</f>
        <v>Stable</v>
      </c>
      <c r="E250" s="54">
        <f>Market_Data_Raw!D250+Market_Data_Raw!E250</f>
        <v>889</v>
      </c>
      <c r="F250" s="55">
        <f>IF(Market_Data_Raw!F250&lt;0.8,-1,IF(Market_Data_Raw!F250&gt;1,1,0))</f>
        <v>0</v>
      </c>
      <c r="G250" s="55">
        <f>IF(Market_Data_Raw!B251&gt;Market_Data_Raw!B250,1,-1)</f>
        <v>1</v>
      </c>
    </row>
    <row r="251" spans="1:7" x14ac:dyDescent="0.3">
      <c r="A251" s="44">
        <f>Market_Data_Raw!A251</f>
        <v>45906</v>
      </c>
      <c r="B251" s="45">
        <f>Market_Data_Raw!B251</f>
        <v>25524.55</v>
      </c>
      <c r="C251" s="46">
        <f>LN(Market_Data_Raw!B251/Market_Data_Raw!B250)</f>
        <v>1.5306234960737729E-2</v>
      </c>
      <c r="D251" s="47" t="str">
        <f>IF(Market_Data_Raw!C251&gt;20,"High Risk","Stable")</f>
        <v>Stable</v>
      </c>
      <c r="E251" s="48">
        <f>Market_Data_Raw!D251+Market_Data_Raw!E251</f>
        <v>1063</v>
      </c>
      <c r="F251" s="49">
        <f>IF(Market_Data_Raw!F251&lt;0.8,-1,IF(Market_Data_Raw!F251&gt;1,1,0))</f>
        <v>0</v>
      </c>
      <c r="G251" s="49">
        <f>IF(Market_Data_Raw!B252&gt;Market_Data_Raw!B251,1,-1)</f>
        <v>1</v>
      </c>
    </row>
    <row r="252" spans="1:7" x14ac:dyDescent="0.3">
      <c r="A252" s="50">
        <f>Market_Data_Raw!A252</f>
        <v>45907</v>
      </c>
      <c r="B252" s="51">
        <f>Market_Data_Raw!B252</f>
        <v>25620.25</v>
      </c>
      <c r="C252" s="52">
        <f>LN(Market_Data_Raw!B252/Market_Data_Raw!B251)</f>
        <v>3.7423203019482662E-3</v>
      </c>
      <c r="D252" s="53" t="str">
        <f>IF(Market_Data_Raw!C252&gt;20,"High Risk","Stable")</f>
        <v>Stable</v>
      </c>
      <c r="E252" s="54">
        <f>Market_Data_Raw!D252+Market_Data_Raw!E252</f>
        <v>-94</v>
      </c>
      <c r="F252" s="55">
        <f>IF(Market_Data_Raw!F252&lt;0.8,-1,IF(Market_Data_Raw!F252&gt;1,1,0))</f>
        <v>0</v>
      </c>
      <c r="G252" s="55">
        <v>-1</v>
      </c>
    </row>
  </sheetData>
  <mergeCells count="1">
    <mergeCell ref="A1:G1"/>
  </mergeCells>
  <conditionalFormatting sqref="C3:C252">
    <cfRule type="cellIs" dxfId="1" priority="1" operator="greaterThan">
      <formula>0</formula>
    </cfRule>
    <cfRule type="cellIs" dxfId="0" priority="2" operator="lessThan">
      <formula>0</formula>
    </cfRule>
  </conditionalFormatting>
  <conditionalFormatting sqref="E3:E252">
    <cfRule type="dataBar" priority="3">
      <dataBar>
        <cfvo type="min"/>
        <cfvo type="max"/>
        <color rgb="FF2E86C1"/>
      </dataBar>
    </cfRule>
  </conditionalFormatting>
  <dataValidations count="1">
    <dataValidation type="whole" showErrorMessage="1" errorTitle="Invalid Value" error="PCR_Signal must be -1, 0, or 1." sqref="F3:F252" xr:uid="{00000000-0002-0000-0100-000000000000}">
      <formula1>-1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F252"/>
  <sheetViews>
    <sheetView showGridLines="0" workbookViewId="0">
      <pane ySplit="2" topLeftCell="A62" activePane="bottomLeft" state="frozen"/>
      <selection pane="bottomLeft" activeCell="J67" sqref="J67"/>
    </sheetView>
  </sheetViews>
  <sheetFormatPr defaultRowHeight="14.4" x14ac:dyDescent="0.3"/>
  <cols>
    <col min="1" max="1" width="14" customWidth="1"/>
    <col min="2" max="2" width="62" customWidth="1"/>
    <col min="3" max="3" width="16" customWidth="1"/>
    <col min="4" max="4" width="20" customWidth="1"/>
    <col min="5" max="5" width="16" customWidth="1"/>
    <col min="6" max="6" width="17" customWidth="1"/>
  </cols>
  <sheetData>
    <row r="1" spans="1:6" ht="28.05" customHeight="1" x14ac:dyDescent="0.3">
      <c r="A1" s="56" t="s">
        <v>266</v>
      </c>
      <c r="B1" s="15"/>
      <c r="C1" s="15"/>
      <c r="D1" s="15"/>
      <c r="E1" s="15"/>
      <c r="F1" s="15"/>
    </row>
    <row r="2" spans="1:6" ht="19.95" customHeight="1" x14ac:dyDescent="0.3">
      <c r="A2" s="57" t="s">
        <v>1</v>
      </c>
      <c r="B2" s="57" t="s">
        <v>7</v>
      </c>
      <c r="C2" s="57" t="s">
        <v>8</v>
      </c>
      <c r="D2" s="57" t="s">
        <v>267</v>
      </c>
      <c r="E2" s="57" t="s">
        <v>268</v>
      </c>
      <c r="F2" s="57" t="s">
        <v>269</v>
      </c>
    </row>
    <row r="3" spans="1:6" x14ac:dyDescent="0.3">
      <c r="A3" s="58">
        <f>Market_Data_Raw!A3</f>
        <v>45658</v>
      </c>
      <c r="B3" s="59" t="str">
        <f>Market_Data_Raw!G3</f>
        <v>India corporate bond market sees ₹9,200 Cr issuances this week</v>
      </c>
      <c r="C3" s="60">
        <f>Market_Data_Raw!H3</f>
        <v>0</v>
      </c>
      <c r="D3" s="61" t="str">
        <f t="shared" ref="D3:D66" si="0">IF(C3=1,"Positive",IF(C3=-1,"Negative","Neutral"))</f>
        <v>Neutral</v>
      </c>
      <c r="E3" s="61" t="str">
        <f>IF(Quantitative_Model!G3=1,"Upward","Downward")</f>
        <v>Downward</v>
      </c>
      <c r="F3" s="61" t="str">
        <f>IF(C3=Quantitative_Model!G3,"Correct","Incorrect")</f>
        <v>Incorrect</v>
      </c>
    </row>
    <row r="4" spans="1:6" x14ac:dyDescent="0.3">
      <c r="A4" s="62">
        <f>Market_Data_Raw!A4</f>
        <v>45659</v>
      </c>
      <c r="B4" s="63" t="str">
        <f>Market_Data_Raw!G4</f>
        <v>India renewable energy capacity crosses 250 GW milestone</v>
      </c>
      <c r="C4" s="64">
        <f>Market_Data_Raw!H4</f>
        <v>1</v>
      </c>
      <c r="D4" s="65" t="str">
        <f t="shared" si="0"/>
        <v>Positive</v>
      </c>
      <c r="E4" s="65" t="str">
        <f>IF(Quantitative_Model!G4=1,"Upward","Downward")</f>
        <v>Upward</v>
      </c>
      <c r="F4" s="65" t="str">
        <f>IF(C4=Quantitative_Model!G4,"Correct","Incorrect")</f>
        <v>Correct</v>
      </c>
    </row>
    <row r="5" spans="1:6" x14ac:dyDescent="0.3">
      <c r="A5" s="58">
        <f>Market_Data_Raw!A5</f>
        <v>45660</v>
      </c>
      <c r="B5" s="59" t="str">
        <f>Market_Data_Raw!G5</f>
        <v>India container throughput at ports up 12% YoY: ministry data</v>
      </c>
      <c r="C5" s="60">
        <f>Market_Data_Raw!H5</f>
        <v>1</v>
      </c>
      <c r="D5" s="61" t="str">
        <f t="shared" si="0"/>
        <v>Positive</v>
      </c>
      <c r="E5" s="61" t="str">
        <f>IF(Quantitative_Model!G5=1,"Upward","Downward")</f>
        <v>Upward</v>
      </c>
      <c r="F5" s="61" t="str">
        <f>IF(C5=Quantitative_Model!G5,"Correct","Incorrect")</f>
        <v>Correct</v>
      </c>
    </row>
    <row r="6" spans="1:6" x14ac:dyDescent="0.3">
      <c r="A6" s="62">
        <f>Market_Data_Raw!A6</f>
        <v>45661</v>
      </c>
      <c r="B6" s="63" t="str">
        <f>Market_Data_Raw!G6</f>
        <v>Wipro beats estimates, stock rallies 6.1% in morning trade</v>
      </c>
      <c r="C6" s="64">
        <f>Market_Data_Raw!H6</f>
        <v>1</v>
      </c>
      <c r="D6" s="65" t="str">
        <f t="shared" si="0"/>
        <v>Positive</v>
      </c>
      <c r="E6" s="65" t="str">
        <f>IF(Quantitative_Model!G6=1,"Upward","Downward")</f>
        <v>Downward</v>
      </c>
      <c r="F6" s="65" t="str">
        <f>IF(C6=Quantitative_Model!G6,"Correct","Incorrect")</f>
        <v>Incorrect</v>
      </c>
    </row>
    <row r="7" spans="1:6" x14ac:dyDescent="0.3">
      <c r="A7" s="58">
        <f>Market_Data_Raw!A7</f>
        <v>45662</v>
      </c>
      <c r="B7" s="59" t="str">
        <f>Market_Data_Raw!G7</f>
        <v>India PMI manufacturing at 53.8, in-line with consensus forecast</v>
      </c>
      <c r="C7" s="60">
        <f>Market_Data_Raw!H7</f>
        <v>0</v>
      </c>
      <c r="D7" s="61" t="str">
        <f t="shared" si="0"/>
        <v>Neutral</v>
      </c>
      <c r="E7" s="61" t="str">
        <f>IF(Quantitative_Model!G7=1,"Upward","Downward")</f>
        <v>Downward</v>
      </c>
      <c r="F7" s="61" t="str">
        <f>IF(C7=Quantitative_Model!G7,"Correct","Incorrect")</f>
        <v>Incorrect</v>
      </c>
    </row>
    <row r="8" spans="1:6" x14ac:dyDescent="0.3">
      <c r="A8" s="62">
        <f>Market_Data_Raw!A8</f>
        <v>45663</v>
      </c>
      <c r="B8" s="63" t="str">
        <f>Market_Data_Raw!G8</f>
        <v>Nifty Realty consolidates near 52-week high; sector factors priced in</v>
      </c>
      <c r="C8" s="64">
        <f>Market_Data_Raw!H8</f>
        <v>0</v>
      </c>
      <c r="D8" s="65" t="str">
        <f t="shared" si="0"/>
        <v>Neutral</v>
      </c>
      <c r="E8" s="65" t="str">
        <f>IF(Quantitative_Model!G8=1,"Upward","Downward")</f>
        <v>Upward</v>
      </c>
      <c r="F8" s="65" t="str">
        <f>IF(C8=Quantitative_Model!G8,"Correct","Incorrect")</f>
        <v>Incorrect</v>
      </c>
    </row>
    <row r="9" spans="1:6" x14ac:dyDescent="0.3">
      <c r="A9" s="58">
        <f>Market_Data_Raw!A9</f>
        <v>45664</v>
      </c>
      <c r="B9" s="59" t="str">
        <f>Market_Data_Raw!G9</f>
        <v>US tariff threat on Indian pharma exports, sector falls 3.1%</v>
      </c>
      <c r="C9" s="60">
        <f>Market_Data_Raw!H9</f>
        <v>-1</v>
      </c>
      <c r="D9" s="61" t="str">
        <f t="shared" si="0"/>
        <v>Negative</v>
      </c>
      <c r="E9" s="61" t="str">
        <f>IF(Quantitative_Model!G9=1,"Upward","Downward")</f>
        <v>Upward</v>
      </c>
      <c r="F9" s="61" t="str">
        <f>IF(C9=Quantitative_Model!G9,"Correct","Incorrect")</f>
        <v>Incorrect</v>
      </c>
    </row>
    <row r="10" spans="1:6" x14ac:dyDescent="0.3">
      <c r="A10" s="62">
        <f>Market_Data_Raw!A10</f>
        <v>45665</v>
      </c>
      <c r="B10" s="63" t="str">
        <f>Market_Data_Raw!G10</f>
        <v>Sebi board meeting to address F&amp;O regulations; market on hold</v>
      </c>
      <c r="C10" s="64">
        <f>Market_Data_Raw!H10</f>
        <v>0</v>
      </c>
      <c r="D10" s="65" t="str">
        <f t="shared" si="0"/>
        <v>Neutral</v>
      </c>
      <c r="E10" s="65" t="str">
        <f>IF(Quantitative_Model!G10=1,"Upward","Downward")</f>
        <v>Downward</v>
      </c>
      <c r="F10" s="65" t="str">
        <f>IF(C10=Quantitative_Model!G10,"Correct","Incorrect")</f>
        <v>Incorrect</v>
      </c>
    </row>
    <row r="11" spans="1:6" x14ac:dyDescent="0.3">
      <c r="A11" s="58">
        <f>Market_Data_Raw!A11</f>
        <v>45666</v>
      </c>
      <c r="B11" s="59" t="str">
        <f>Market_Data_Raw!G11</f>
        <v>Nifty Pharma down 2.1% as US FDA sends warning letter to firm</v>
      </c>
      <c r="C11" s="60">
        <f>Market_Data_Raw!H11</f>
        <v>-1</v>
      </c>
      <c r="D11" s="61" t="str">
        <f t="shared" si="0"/>
        <v>Negative</v>
      </c>
      <c r="E11" s="61" t="str">
        <f>IF(Quantitative_Model!G11=1,"Upward","Downward")</f>
        <v>Upward</v>
      </c>
      <c r="F11" s="61" t="str">
        <f>IF(C11=Quantitative_Model!G11,"Correct","Incorrect")</f>
        <v>Incorrect</v>
      </c>
    </row>
    <row r="12" spans="1:6" x14ac:dyDescent="0.3">
      <c r="A12" s="62">
        <f>Market_Data_Raw!A12</f>
        <v>45667</v>
      </c>
      <c r="B12" s="63" t="str">
        <f>Market_Data_Raw!G12</f>
        <v>IT major mid-quarter update shows steady but unspectacular growth</v>
      </c>
      <c r="C12" s="64">
        <f>Market_Data_Raw!H12</f>
        <v>0</v>
      </c>
      <c r="D12" s="65" t="str">
        <f t="shared" si="0"/>
        <v>Neutral</v>
      </c>
      <c r="E12" s="65" t="str">
        <f>IF(Quantitative_Model!G12=1,"Upward","Downward")</f>
        <v>Downward</v>
      </c>
      <c r="F12" s="65" t="str">
        <f>IF(C12=Quantitative_Model!G12,"Correct","Incorrect")</f>
        <v>Incorrect</v>
      </c>
    </row>
    <row r="13" spans="1:6" x14ac:dyDescent="0.3">
      <c r="A13" s="58">
        <f>Market_Data_Raw!A13</f>
        <v>45668</v>
      </c>
      <c r="B13" s="59" t="str">
        <f>Market_Data_Raw!G13</f>
        <v>Hero MotoCorp sales beat estimates; two-wheeler stocks rally</v>
      </c>
      <c r="C13" s="60">
        <f>Market_Data_Raw!H13</f>
        <v>1</v>
      </c>
      <c r="D13" s="61" t="str">
        <f t="shared" si="0"/>
        <v>Positive</v>
      </c>
      <c r="E13" s="61" t="str">
        <f>IF(Quantitative_Model!G13=1,"Upward","Downward")</f>
        <v>Downward</v>
      </c>
      <c r="F13" s="61" t="str">
        <f>IF(C13=Quantitative_Model!G13,"Correct","Incorrect")</f>
        <v>Incorrect</v>
      </c>
    </row>
    <row r="14" spans="1:6" x14ac:dyDescent="0.3">
      <c r="A14" s="62">
        <f>Market_Data_Raw!A14</f>
        <v>45669</v>
      </c>
      <c r="B14" s="63" t="str">
        <f>Market_Data_Raw!G14</f>
        <v>Bajaj Finance Q4 AUM growth at 28%, NBFC sector leads gains</v>
      </c>
      <c r="C14" s="64">
        <f>Market_Data_Raw!H14</f>
        <v>1</v>
      </c>
      <c r="D14" s="65" t="str">
        <f t="shared" si="0"/>
        <v>Positive</v>
      </c>
      <c r="E14" s="65" t="str">
        <f>IF(Quantitative_Model!G14=1,"Upward","Downward")</f>
        <v>Upward</v>
      </c>
      <c r="F14" s="65" t="str">
        <f>IF(C14=Quantitative_Model!G14,"Correct","Incorrect")</f>
        <v>Correct</v>
      </c>
    </row>
    <row r="15" spans="1:6" x14ac:dyDescent="0.3">
      <c r="A15" s="58">
        <f>Market_Data_Raw!A15</f>
        <v>45670</v>
      </c>
      <c r="B15" s="59" t="str">
        <f>Market_Data_Raw!G15</f>
        <v>Nifty Chemical index gains on China+1 supply chain shift</v>
      </c>
      <c r="C15" s="60">
        <f>Market_Data_Raw!H15</f>
        <v>0</v>
      </c>
      <c r="D15" s="61" t="str">
        <f t="shared" si="0"/>
        <v>Neutral</v>
      </c>
      <c r="E15" s="61" t="str">
        <f>IF(Quantitative_Model!G15=1,"Upward","Downward")</f>
        <v>Downward</v>
      </c>
      <c r="F15" s="61" t="str">
        <f>IF(C15=Quantitative_Model!G15,"Correct","Incorrect")</f>
        <v>Incorrect</v>
      </c>
    </row>
    <row r="16" spans="1:6" x14ac:dyDescent="0.3">
      <c r="A16" s="62">
        <f>Market_Data_Raw!A16</f>
        <v>45671</v>
      </c>
      <c r="B16" s="63" t="str">
        <f>Market_Data_Raw!G16</f>
        <v>FII sell-off: ₹5,800 Cr exits equity market in single session</v>
      </c>
      <c r="C16" s="64">
        <f>Market_Data_Raw!H16</f>
        <v>-1</v>
      </c>
      <c r="D16" s="65" t="str">
        <f t="shared" si="0"/>
        <v>Negative</v>
      </c>
      <c r="E16" s="65" t="str">
        <f>IF(Quantitative_Model!G16=1,"Upward","Downward")</f>
        <v>Downward</v>
      </c>
      <c r="F16" s="65" t="str">
        <f>IF(C16=Quantitative_Model!G16,"Correct","Incorrect")</f>
        <v>Correct</v>
      </c>
    </row>
    <row r="17" spans="1:6" x14ac:dyDescent="0.3">
      <c r="A17" s="58">
        <f>Market_Data_Raw!A17</f>
        <v>45672</v>
      </c>
      <c r="B17" s="59" t="str">
        <f>Market_Data_Raw!G17</f>
        <v>Maruti Suzuki Q4 EBITDA margins surprise positively at 13.2%</v>
      </c>
      <c r="C17" s="60">
        <f>Market_Data_Raw!H17</f>
        <v>1</v>
      </c>
      <c r="D17" s="61" t="str">
        <f t="shared" si="0"/>
        <v>Positive</v>
      </c>
      <c r="E17" s="61" t="str">
        <f>IF(Quantitative_Model!G17=1,"Upward","Downward")</f>
        <v>Downward</v>
      </c>
      <c r="F17" s="61" t="str">
        <f>IF(C17=Quantitative_Model!G17,"Correct","Incorrect")</f>
        <v>Incorrect</v>
      </c>
    </row>
    <row r="18" spans="1:6" x14ac:dyDescent="0.3">
      <c r="A18" s="62">
        <f>Market_Data_Raw!A18</f>
        <v>45673</v>
      </c>
      <c r="B18" s="63" t="str">
        <f>Market_Data_Raw!G18</f>
        <v>Global recession fears trigger broad-based selling across sectors</v>
      </c>
      <c r="C18" s="64">
        <f>Market_Data_Raw!H18</f>
        <v>-1</v>
      </c>
      <c r="D18" s="65" t="str">
        <f t="shared" si="0"/>
        <v>Negative</v>
      </c>
      <c r="E18" s="65" t="str">
        <f>IF(Quantitative_Model!G18=1,"Upward","Downward")</f>
        <v>Downward</v>
      </c>
      <c r="F18" s="65" t="str">
        <f>IF(C18=Quantitative_Model!G18,"Correct","Incorrect")</f>
        <v>Correct</v>
      </c>
    </row>
    <row r="19" spans="1:6" x14ac:dyDescent="0.3">
      <c r="A19" s="58">
        <f>Market_Data_Raw!A19</f>
        <v>45674</v>
      </c>
      <c r="B19" s="59" t="str">
        <f>Market_Data_Raw!G19</f>
        <v>Large-cap MF inflows at ₹8,300 Cr in June, stable momentum</v>
      </c>
      <c r="C19" s="60">
        <f>Market_Data_Raw!H19</f>
        <v>0</v>
      </c>
      <c r="D19" s="61" t="str">
        <f t="shared" si="0"/>
        <v>Neutral</v>
      </c>
      <c r="E19" s="61" t="str">
        <f>IF(Quantitative_Model!G19=1,"Upward","Downward")</f>
        <v>Upward</v>
      </c>
      <c r="F19" s="61" t="str">
        <f>IF(C19=Quantitative_Model!G19,"Correct","Incorrect")</f>
        <v>Incorrect</v>
      </c>
    </row>
    <row r="20" spans="1:6" x14ac:dyDescent="0.3">
      <c r="A20" s="62">
        <f>Market_Data_Raw!A20</f>
        <v>45675</v>
      </c>
      <c r="B20" s="63" t="str">
        <f>Market_Data_Raw!G20</f>
        <v>Global tech selloff drags Infosys, TCS down 3-5% each</v>
      </c>
      <c r="C20" s="64">
        <f>Market_Data_Raw!H20</f>
        <v>-1</v>
      </c>
      <c r="D20" s="65" t="str">
        <f t="shared" si="0"/>
        <v>Negative</v>
      </c>
      <c r="E20" s="65" t="str">
        <f>IF(Quantitative_Model!G20=1,"Upward","Downward")</f>
        <v>Downward</v>
      </c>
      <c r="F20" s="65" t="str">
        <f>IF(C20=Quantitative_Model!G20,"Correct","Incorrect")</f>
        <v>Correct</v>
      </c>
    </row>
    <row r="21" spans="1:6" x14ac:dyDescent="0.3">
      <c r="A21" s="58">
        <f>Market_Data_Raw!A21</f>
        <v>45676</v>
      </c>
      <c r="B21" s="59" t="str">
        <f>Market_Data_Raw!G21</f>
        <v>Nifty FMCG sector flat; awaiting rural volume growth trend data</v>
      </c>
      <c r="C21" s="60">
        <f>Market_Data_Raw!H21</f>
        <v>0</v>
      </c>
      <c r="D21" s="61" t="str">
        <f t="shared" si="0"/>
        <v>Neutral</v>
      </c>
      <c r="E21" s="61" t="str">
        <f>IF(Quantitative_Model!G21=1,"Upward","Downward")</f>
        <v>Downward</v>
      </c>
      <c r="F21" s="61" t="str">
        <f>IF(C21=Quantitative_Model!G21,"Correct","Incorrect")</f>
        <v>Incorrect</v>
      </c>
    </row>
    <row r="22" spans="1:6" x14ac:dyDescent="0.3">
      <c r="A22" s="62">
        <f>Market_Data_Raw!A22</f>
        <v>45677</v>
      </c>
      <c r="B22" s="63" t="str">
        <f>Market_Data_Raw!G22</f>
        <v>India Q1 corporate revenue growth at 11.3% YoY beat estimates</v>
      </c>
      <c r="C22" s="64">
        <f>Market_Data_Raw!H22</f>
        <v>-1</v>
      </c>
      <c r="D22" s="65" t="str">
        <f t="shared" si="0"/>
        <v>Negative</v>
      </c>
      <c r="E22" s="65" t="str">
        <f>IF(Quantitative_Model!G22=1,"Upward","Downward")</f>
        <v>Upward</v>
      </c>
      <c r="F22" s="65" t="str">
        <f>IF(C22=Quantitative_Model!G22,"Correct","Incorrect")</f>
        <v>Incorrect</v>
      </c>
    </row>
    <row r="23" spans="1:6" x14ac:dyDescent="0.3">
      <c r="A23" s="58">
        <f>Market_Data_Raw!A23</f>
        <v>45678</v>
      </c>
      <c r="B23" s="59" t="str">
        <f>Market_Data_Raw!G23</f>
        <v>India-Vietnam trade corridor investment signals boost logistics stocks</v>
      </c>
      <c r="C23" s="60">
        <f>Market_Data_Raw!H23</f>
        <v>0</v>
      </c>
      <c r="D23" s="61" t="str">
        <f t="shared" si="0"/>
        <v>Neutral</v>
      </c>
      <c r="E23" s="61" t="str">
        <f>IF(Quantitative_Model!G23=1,"Upward","Downward")</f>
        <v>Downward</v>
      </c>
      <c r="F23" s="61" t="str">
        <f>IF(C23=Quantitative_Model!G23,"Correct","Incorrect")</f>
        <v>Incorrect</v>
      </c>
    </row>
    <row r="24" spans="1:6" x14ac:dyDescent="0.3">
      <c r="A24" s="62">
        <f>Market_Data_Raw!A24</f>
        <v>45679</v>
      </c>
      <c r="B24" s="63" t="str">
        <f>Market_Data_Raw!G24</f>
        <v>Nifty FMCG up 1.6% as rural wage growth outpaces urban</v>
      </c>
      <c r="C24" s="64">
        <f>Market_Data_Raw!H24</f>
        <v>-1</v>
      </c>
      <c r="D24" s="65" t="str">
        <f t="shared" si="0"/>
        <v>Negative</v>
      </c>
      <c r="E24" s="65" t="str">
        <f>IF(Quantitative_Model!G24=1,"Upward","Downward")</f>
        <v>Upward</v>
      </c>
      <c r="F24" s="65" t="str">
        <f>IF(C24=Quantitative_Model!G24,"Correct","Incorrect")</f>
        <v>Incorrect</v>
      </c>
    </row>
    <row r="25" spans="1:6" x14ac:dyDescent="0.3">
      <c r="A25" s="58">
        <f>Market_Data_Raw!A25</f>
        <v>45680</v>
      </c>
      <c r="B25" s="59" t="str">
        <f>Market_Data_Raw!G25</f>
        <v>India trade deficit at record $25 Bn, rupee hits 8-month low</v>
      </c>
      <c r="C25" s="60">
        <f>Market_Data_Raw!H25</f>
        <v>-1</v>
      </c>
      <c r="D25" s="61" t="str">
        <f t="shared" si="0"/>
        <v>Negative</v>
      </c>
      <c r="E25" s="61" t="str">
        <f>IF(Quantitative_Model!G25=1,"Upward","Downward")</f>
        <v>Downward</v>
      </c>
      <c r="F25" s="61" t="str">
        <f>IF(C25=Quantitative_Model!G25,"Correct","Incorrect")</f>
        <v>Correct</v>
      </c>
    </row>
    <row r="26" spans="1:6" x14ac:dyDescent="0.3">
      <c r="A26" s="62">
        <f>Market_Data_Raw!A26</f>
        <v>45681</v>
      </c>
      <c r="B26" s="63" t="str">
        <f>Market_Data_Raw!G26</f>
        <v>India direct tax buoyancy in line with trend; no major surprises</v>
      </c>
      <c r="C26" s="64">
        <f>Market_Data_Raw!H26</f>
        <v>0</v>
      </c>
      <c r="D26" s="65" t="str">
        <f t="shared" si="0"/>
        <v>Neutral</v>
      </c>
      <c r="E26" s="65" t="str">
        <f>IF(Quantitative_Model!G26=1,"Upward","Downward")</f>
        <v>Downward</v>
      </c>
      <c r="F26" s="65" t="str">
        <f>IF(C26=Quantitative_Model!G26,"Correct","Incorrect")</f>
        <v>Incorrect</v>
      </c>
    </row>
    <row r="27" spans="1:6" x14ac:dyDescent="0.3">
      <c r="A27" s="58">
        <f>Market_Data_Raw!A27</f>
        <v>45682</v>
      </c>
      <c r="B27" s="59" t="str">
        <f>Market_Data_Raw!G27</f>
        <v>NSE index derivatives turnover normalises post margin rule changes</v>
      </c>
      <c r="C27" s="60">
        <f>Market_Data_Raw!H27</f>
        <v>0</v>
      </c>
      <c r="D27" s="61" t="str">
        <f t="shared" si="0"/>
        <v>Neutral</v>
      </c>
      <c r="E27" s="61" t="str">
        <f>IF(Quantitative_Model!G27=1,"Upward","Downward")</f>
        <v>Upward</v>
      </c>
      <c r="F27" s="61" t="str">
        <f>IF(C27=Quantitative_Model!G27,"Correct","Incorrect")</f>
        <v>Incorrect</v>
      </c>
    </row>
    <row r="28" spans="1:6" x14ac:dyDescent="0.3">
      <c r="A28" s="62">
        <f>Market_Data_Raw!A28</f>
        <v>45683</v>
      </c>
      <c r="B28" s="63" t="str">
        <f>Market_Data_Raw!G28</f>
        <v>Reliance Industries Q4 profit up 18% YoY, triggers broad market rally</v>
      </c>
      <c r="C28" s="64">
        <f>Market_Data_Raw!H28</f>
        <v>1</v>
      </c>
      <c r="D28" s="65" t="str">
        <f t="shared" si="0"/>
        <v>Positive</v>
      </c>
      <c r="E28" s="65" t="str">
        <f>IF(Quantitative_Model!G28=1,"Upward","Downward")</f>
        <v>Downward</v>
      </c>
      <c r="F28" s="65" t="str">
        <f>IF(C28=Quantitative_Model!G28,"Correct","Incorrect")</f>
        <v>Incorrect</v>
      </c>
    </row>
    <row r="29" spans="1:6" x14ac:dyDescent="0.3">
      <c r="A29" s="58">
        <f>Market_Data_Raw!A29</f>
        <v>45684</v>
      </c>
      <c r="B29" s="59" t="str">
        <f>Market_Data_Raw!G29</f>
        <v>India hotel sector occupancy at record 78%, tourism stocks surge</v>
      </c>
      <c r="C29" s="60">
        <f>Market_Data_Raw!H29</f>
        <v>1</v>
      </c>
      <c r="D29" s="61" t="str">
        <f t="shared" si="0"/>
        <v>Positive</v>
      </c>
      <c r="E29" s="61" t="str">
        <f>IF(Quantitative_Model!G29=1,"Upward","Downward")</f>
        <v>Upward</v>
      </c>
      <c r="F29" s="61" t="str">
        <f>IF(C29=Quantitative_Model!G29,"Correct","Incorrect")</f>
        <v>Correct</v>
      </c>
    </row>
    <row r="30" spans="1:6" x14ac:dyDescent="0.3">
      <c r="A30" s="62">
        <f>Market_Data_Raw!A30</f>
        <v>45685</v>
      </c>
      <c r="B30" s="63" t="str">
        <f>Market_Data_Raw!G30</f>
        <v>Nifty IT index outperforms as rupee weakens, USD revenues boost</v>
      </c>
      <c r="C30" s="64">
        <f>Market_Data_Raw!H30</f>
        <v>1</v>
      </c>
      <c r="D30" s="65" t="str">
        <f t="shared" si="0"/>
        <v>Positive</v>
      </c>
      <c r="E30" s="65" t="str">
        <f>IF(Quantitative_Model!G30=1,"Upward","Downward")</f>
        <v>Downward</v>
      </c>
      <c r="F30" s="65" t="str">
        <f>IF(C30=Quantitative_Model!G30,"Correct","Incorrect")</f>
        <v>Incorrect</v>
      </c>
    </row>
    <row r="31" spans="1:6" x14ac:dyDescent="0.3">
      <c r="A31" s="58">
        <f>Market_Data_Raw!A31</f>
        <v>45686</v>
      </c>
      <c r="B31" s="59" t="str">
        <f>Market_Data_Raw!G31</f>
        <v>India fertiliser sector stocks rally on policy subsidy clarity</v>
      </c>
      <c r="C31" s="60">
        <f>Market_Data_Raw!H31</f>
        <v>1</v>
      </c>
      <c r="D31" s="61" t="str">
        <f t="shared" si="0"/>
        <v>Positive</v>
      </c>
      <c r="E31" s="61" t="str">
        <f>IF(Quantitative_Model!G31=1,"Upward","Downward")</f>
        <v>Downward</v>
      </c>
      <c r="F31" s="61" t="str">
        <f>IF(C31=Quantitative_Model!G31,"Correct","Incorrect")</f>
        <v>Incorrect</v>
      </c>
    </row>
    <row r="32" spans="1:6" x14ac:dyDescent="0.3">
      <c r="A32" s="62">
        <f>Market_Data_Raw!A32</f>
        <v>45687</v>
      </c>
      <c r="B32" s="63" t="str">
        <f>Market_Data_Raw!G32</f>
        <v>Nifty Midcap 100 gains 2.2% as domestic mutual funds pour in</v>
      </c>
      <c r="C32" s="64">
        <f>Market_Data_Raw!H32</f>
        <v>1</v>
      </c>
      <c r="D32" s="65" t="str">
        <f t="shared" si="0"/>
        <v>Positive</v>
      </c>
      <c r="E32" s="65" t="str">
        <f>IF(Quantitative_Model!G32=1,"Upward","Downward")</f>
        <v>Downward</v>
      </c>
      <c r="F32" s="65" t="str">
        <f>IF(C32=Quantitative_Model!G32,"Correct","Incorrect")</f>
        <v>Incorrect</v>
      </c>
    </row>
    <row r="33" spans="1:6" x14ac:dyDescent="0.3">
      <c r="A33" s="58">
        <f>Market_Data_Raw!A33</f>
        <v>45688</v>
      </c>
      <c r="B33" s="59" t="str">
        <f>Market_Data_Raw!G33</f>
        <v>Nifty500 corrects 2.3% in week as FIIs turn sellers again</v>
      </c>
      <c r="C33" s="60">
        <f>Market_Data_Raw!H33</f>
        <v>-1</v>
      </c>
      <c r="D33" s="61" t="str">
        <f t="shared" si="0"/>
        <v>Negative</v>
      </c>
      <c r="E33" s="61" t="str">
        <f>IF(Quantitative_Model!G33=1,"Upward","Downward")</f>
        <v>Upward</v>
      </c>
      <c r="F33" s="61" t="str">
        <f>IF(C33=Quantitative_Model!G33,"Correct","Incorrect")</f>
        <v>Incorrect</v>
      </c>
    </row>
    <row r="34" spans="1:6" x14ac:dyDescent="0.3">
      <c r="A34" s="62">
        <f>Market_Data_Raw!A34</f>
        <v>45689</v>
      </c>
      <c r="B34" s="63" t="str">
        <f>Market_Data_Raw!G34</f>
        <v>FPIs pull out ₹18,000 Cr in October amid global risk-off mood</v>
      </c>
      <c r="C34" s="64">
        <f>Market_Data_Raw!H34</f>
        <v>-1</v>
      </c>
      <c r="D34" s="65" t="str">
        <f t="shared" si="0"/>
        <v>Negative</v>
      </c>
      <c r="E34" s="65" t="str">
        <f>IF(Quantitative_Model!G34=1,"Upward","Downward")</f>
        <v>Upward</v>
      </c>
      <c r="F34" s="65" t="str">
        <f>IF(C34=Quantitative_Model!G34,"Correct","Incorrect")</f>
        <v>Incorrect</v>
      </c>
    </row>
    <row r="35" spans="1:6" x14ac:dyDescent="0.3">
      <c r="A35" s="58">
        <f>Market_Data_Raw!A35</f>
        <v>45690</v>
      </c>
      <c r="B35" s="59" t="str">
        <f>Market_Data_Raw!G35</f>
        <v>India 91-day T-Bill yield steady at 6.45% at weekly auction</v>
      </c>
      <c r="C35" s="60">
        <f>Market_Data_Raw!H35</f>
        <v>0</v>
      </c>
      <c r="D35" s="61" t="str">
        <f t="shared" si="0"/>
        <v>Neutral</v>
      </c>
      <c r="E35" s="61" t="str">
        <f>IF(Quantitative_Model!G35=1,"Upward","Downward")</f>
        <v>Downward</v>
      </c>
      <c r="F35" s="61" t="str">
        <f>IF(C35=Quantitative_Model!G35,"Correct","Incorrect")</f>
        <v>Incorrect</v>
      </c>
    </row>
    <row r="36" spans="1:6" x14ac:dyDescent="0.3">
      <c r="A36" s="62">
        <f>Market_Data_Raw!A36</f>
        <v>45691</v>
      </c>
      <c r="B36" s="63" t="str">
        <f>Market_Data_Raw!G36</f>
        <v>IT sector jumps on strong TCS quarterly guidance, Nifty IT up 2.5%</v>
      </c>
      <c r="C36" s="64">
        <f>Market_Data_Raw!H36</f>
        <v>1</v>
      </c>
      <c r="D36" s="65" t="str">
        <f t="shared" si="0"/>
        <v>Positive</v>
      </c>
      <c r="E36" s="65" t="str">
        <f>IF(Quantitative_Model!G36=1,"Upward","Downward")</f>
        <v>Upward</v>
      </c>
      <c r="F36" s="65" t="str">
        <f>IF(C36=Quantitative_Model!G36,"Correct","Incorrect")</f>
        <v>Correct</v>
      </c>
    </row>
    <row r="37" spans="1:6" x14ac:dyDescent="0.3">
      <c r="A37" s="58">
        <f>Market_Data_Raw!A37</f>
        <v>45692</v>
      </c>
      <c r="B37" s="59" t="str">
        <f>Market_Data_Raw!G37</f>
        <v>India industrial output contracts 0.4% in December MoM</v>
      </c>
      <c r="C37" s="60">
        <f>Market_Data_Raw!H37</f>
        <v>-1</v>
      </c>
      <c r="D37" s="61" t="str">
        <f t="shared" si="0"/>
        <v>Negative</v>
      </c>
      <c r="E37" s="61" t="str">
        <f>IF(Quantitative_Model!G37=1,"Upward","Downward")</f>
        <v>Downward</v>
      </c>
      <c r="F37" s="61" t="str">
        <f>IF(C37=Quantitative_Model!G37,"Correct","Incorrect")</f>
        <v>Correct</v>
      </c>
    </row>
    <row r="38" spans="1:6" x14ac:dyDescent="0.3">
      <c r="A38" s="62">
        <f>Market_Data_Raw!A38</f>
        <v>45693</v>
      </c>
      <c r="B38" s="63" t="str">
        <f>Market_Data_Raw!G38</f>
        <v>Budget capex multiplier effect felt across cement, steel sectors</v>
      </c>
      <c r="C38" s="64">
        <f>Market_Data_Raw!H38</f>
        <v>1</v>
      </c>
      <c r="D38" s="65" t="str">
        <f t="shared" si="0"/>
        <v>Positive</v>
      </c>
      <c r="E38" s="65" t="str">
        <f>IF(Quantitative_Model!G38=1,"Upward","Downward")</f>
        <v>Upward</v>
      </c>
      <c r="F38" s="65" t="str">
        <f>IF(C38=Quantitative_Model!G38,"Correct","Incorrect")</f>
        <v>Correct</v>
      </c>
    </row>
    <row r="39" spans="1:6" x14ac:dyDescent="0.3">
      <c r="A39" s="58">
        <f>Market_Data_Raw!A39</f>
        <v>45694</v>
      </c>
      <c r="B39" s="59" t="str">
        <f>Market_Data_Raw!G39</f>
        <v>FII holding in Nifty50 stocks at 22.3%, stable over past month</v>
      </c>
      <c r="C39" s="60">
        <f>Market_Data_Raw!H39</f>
        <v>0</v>
      </c>
      <c r="D39" s="61" t="str">
        <f t="shared" si="0"/>
        <v>Neutral</v>
      </c>
      <c r="E39" s="61" t="str">
        <f>IF(Quantitative_Model!G39=1,"Upward","Downward")</f>
        <v>Downward</v>
      </c>
      <c r="F39" s="61" t="str">
        <f>IF(C39=Quantitative_Model!G39,"Correct","Incorrect")</f>
        <v>Incorrect</v>
      </c>
    </row>
    <row r="40" spans="1:6" x14ac:dyDescent="0.3">
      <c r="A40" s="62">
        <f>Market_Data_Raw!A40</f>
        <v>45695</v>
      </c>
      <c r="B40" s="63" t="str">
        <f>Market_Data_Raw!G40</f>
        <v>Nifty Energy up 2.9% as ONGC reports strong refining margins</v>
      </c>
      <c r="C40" s="64">
        <f>Market_Data_Raw!H40</f>
        <v>1</v>
      </c>
      <c r="D40" s="65" t="str">
        <f t="shared" si="0"/>
        <v>Positive</v>
      </c>
      <c r="E40" s="65" t="str">
        <f>IF(Quantitative_Model!G40=1,"Upward","Downward")</f>
        <v>Downward</v>
      </c>
      <c r="F40" s="65" t="str">
        <f>IF(C40=Quantitative_Model!G40,"Correct","Incorrect")</f>
        <v>Incorrect</v>
      </c>
    </row>
    <row r="41" spans="1:6" x14ac:dyDescent="0.3">
      <c r="A41" s="58">
        <f>Market_Data_Raw!A41</f>
        <v>45696</v>
      </c>
      <c r="B41" s="59" t="str">
        <f>Market_Data_Raw!G41</f>
        <v>Q2 earnings season begins; sector analysts adopt wait-and-watch stance</v>
      </c>
      <c r="C41" s="60">
        <f>Market_Data_Raw!H41</f>
        <v>0</v>
      </c>
      <c r="D41" s="61" t="str">
        <f t="shared" si="0"/>
        <v>Neutral</v>
      </c>
      <c r="E41" s="61" t="str">
        <f>IF(Quantitative_Model!G41=1,"Upward","Downward")</f>
        <v>Upward</v>
      </c>
      <c r="F41" s="61" t="str">
        <f>IF(C41=Quantitative_Model!G41,"Correct","Incorrect")</f>
        <v>Incorrect</v>
      </c>
    </row>
    <row r="42" spans="1:6" x14ac:dyDescent="0.3">
      <c r="A42" s="62">
        <f>Market_Data_Raw!A42</f>
        <v>45697</v>
      </c>
      <c r="B42" s="63" t="str">
        <f>Market_Data_Raw!G42</f>
        <v>Nifty Listed Private Equity index outperforms on M&amp;A activity</v>
      </c>
      <c r="C42" s="64">
        <f>Market_Data_Raw!H42</f>
        <v>1</v>
      </c>
      <c r="D42" s="65" t="str">
        <f t="shared" si="0"/>
        <v>Positive</v>
      </c>
      <c r="E42" s="65" t="str">
        <f>IF(Quantitative_Model!G42=1,"Upward","Downward")</f>
        <v>Upward</v>
      </c>
      <c r="F42" s="65" t="str">
        <f>IF(C42=Quantitative_Model!G42,"Correct","Incorrect")</f>
        <v>Correct</v>
      </c>
    </row>
    <row r="43" spans="1:6" x14ac:dyDescent="0.3">
      <c r="A43" s="58">
        <f>Market_Data_Raw!A43</f>
        <v>45698</v>
      </c>
      <c r="B43" s="59" t="str">
        <f>Market_Data_Raw!G43</f>
        <v>Market breadth weak: 1,620 declines vs 380 advances on NSE</v>
      </c>
      <c r="C43" s="60">
        <f>Market_Data_Raw!H43</f>
        <v>-1</v>
      </c>
      <c r="D43" s="61" t="str">
        <f t="shared" si="0"/>
        <v>Negative</v>
      </c>
      <c r="E43" s="61" t="str">
        <f>IF(Quantitative_Model!G43=1,"Upward","Downward")</f>
        <v>Upward</v>
      </c>
      <c r="F43" s="61" t="str">
        <f>IF(C43=Quantitative_Model!G43,"Correct","Incorrect")</f>
        <v>Incorrect</v>
      </c>
    </row>
    <row r="44" spans="1:6" x14ac:dyDescent="0.3">
      <c r="A44" s="62">
        <f>Market_Data_Raw!A44</f>
        <v>45699</v>
      </c>
      <c r="B44" s="63" t="str">
        <f>Market_Data_Raw!G44</f>
        <v>Nifty Consumer discretionary up 2.1% on wedding season demand</v>
      </c>
      <c r="C44" s="64">
        <f>Market_Data_Raw!H44</f>
        <v>0</v>
      </c>
      <c r="D44" s="65" t="str">
        <f t="shared" si="0"/>
        <v>Neutral</v>
      </c>
      <c r="E44" s="65" t="str">
        <f>IF(Quantitative_Model!G44=1,"Upward","Downward")</f>
        <v>Downward</v>
      </c>
      <c r="F44" s="65" t="str">
        <f>IF(C44=Quantitative_Model!G44,"Correct","Incorrect")</f>
        <v>Incorrect</v>
      </c>
    </row>
    <row r="45" spans="1:6" x14ac:dyDescent="0.3">
      <c r="A45" s="58">
        <f>Market_Data_Raw!A45</f>
        <v>45700</v>
      </c>
      <c r="B45" s="59" t="str">
        <f>Market_Data_Raw!G45</f>
        <v>India railway sector allocation doubled; infra stocks in focus</v>
      </c>
      <c r="C45" s="60">
        <f>Market_Data_Raw!H45</f>
        <v>-1</v>
      </c>
      <c r="D45" s="61" t="str">
        <f t="shared" si="0"/>
        <v>Negative</v>
      </c>
      <c r="E45" s="61" t="str">
        <f>IF(Quantitative_Model!G45=1,"Upward","Downward")</f>
        <v>Downward</v>
      </c>
      <c r="F45" s="61" t="str">
        <f>IF(C45=Quantitative_Model!G45,"Correct","Incorrect")</f>
        <v>Correct</v>
      </c>
    </row>
    <row r="46" spans="1:6" x14ac:dyDescent="0.3">
      <c r="A46" s="62">
        <f>Market_Data_Raw!A46</f>
        <v>45701</v>
      </c>
      <c r="B46" s="63" t="str">
        <f>Market_Data_Raw!G46</f>
        <v>Nifty Midcap index underperforms as global risk appetite weakens</v>
      </c>
      <c r="C46" s="64">
        <f>Market_Data_Raw!H46</f>
        <v>-1</v>
      </c>
      <c r="D46" s="65" t="str">
        <f t="shared" si="0"/>
        <v>Negative</v>
      </c>
      <c r="E46" s="65" t="str">
        <f>IF(Quantitative_Model!G46=1,"Upward","Downward")</f>
        <v>Downward</v>
      </c>
      <c r="F46" s="65" t="str">
        <f>IF(C46=Quantitative_Model!G46,"Correct","Incorrect")</f>
        <v>Correct</v>
      </c>
    </row>
    <row r="47" spans="1:6" x14ac:dyDescent="0.3">
      <c r="A47" s="58">
        <f>Market_Data_Raw!A47</f>
        <v>45702</v>
      </c>
      <c r="B47" s="59" t="str">
        <f>Market_Data_Raw!G47</f>
        <v>India rating upgraded to BBB+ outlook positive by Fitch Ratings</v>
      </c>
      <c r="C47" s="60">
        <f>Market_Data_Raw!H47</f>
        <v>1</v>
      </c>
      <c r="D47" s="61" t="str">
        <f t="shared" si="0"/>
        <v>Positive</v>
      </c>
      <c r="E47" s="61" t="str">
        <f>IF(Quantitative_Model!G47=1,"Upward","Downward")</f>
        <v>Downward</v>
      </c>
      <c r="F47" s="61" t="str">
        <f>IF(C47=Quantitative_Model!G47,"Correct","Incorrect")</f>
        <v>Incorrect</v>
      </c>
    </row>
    <row r="48" spans="1:6" x14ac:dyDescent="0.3">
      <c r="A48" s="62">
        <f>Market_Data_Raw!A48</f>
        <v>45703</v>
      </c>
      <c r="B48" s="63" t="str">
        <f>Market_Data_Raw!G48</f>
        <v>Nifty PSE index at record high on divestment target revision</v>
      </c>
      <c r="C48" s="64">
        <f>Market_Data_Raw!H48</f>
        <v>1</v>
      </c>
      <c r="D48" s="65" t="str">
        <f t="shared" si="0"/>
        <v>Positive</v>
      </c>
      <c r="E48" s="65" t="str">
        <f>IF(Quantitative_Model!G48=1,"Upward","Downward")</f>
        <v>Downward</v>
      </c>
      <c r="F48" s="65" t="str">
        <f>IF(C48=Quantitative_Model!G48,"Correct","Incorrect")</f>
        <v>Incorrect</v>
      </c>
    </row>
    <row r="49" spans="1:6" x14ac:dyDescent="0.3">
      <c r="A49" s="58">
        <f>Market_Data_Raw!A49</f>
        <v>45704</v>
      </c>
      <c r="B49" s="59" t="str">
        <f>Market_Data_Raw!G49</f>
        <v>RBI raises CRR by 50 bps, banking stocks fall sharply</v>
      </c>
      <c r="C49" s="60">
        <f>Market_Data_Raw!H49</f>
        <v>-1</v>
      </c>
      <c r="D49" s="61" t="str">
        <f t="shared" si="0"/>
        <v>Negative</v>
      </c>
      <c r="E49" s="61" t="str">
        <f>IF(Quantitative_Model!G49=1,"Upward","Downward")</f>
        <v>Upward</v>
      </c>
      <c r="F49" s="61" t="str">
        <f>IF(C49=Quantitative_Model!G49,"Correct","Incorrect")</f>
        <v>Incorrect</v>
      </c>
    </row>
    <row r="50" spans="1:6" x14ac:dyDescent="0.3">
      <c r="A50" s="62">
        <f>Market_Data_Raw!A50</f>
        <v>45705</v>
      </c>
      <c r="B50" s="63" t="str">
        <f>Market_Data_Raw!G50</f>
        <v>Asian Paints volume growth beats forecast, consumer sector up</v>
      </c>
      <c r="C50" s="64">
        <f>Market_Data_Raw!H50</f>
        <v>1</v>
      </c>
      <c r="D50" s="65" t="str">
        <f t="shared" si="0"/>
        <v>Positive</v>
      </c>
      <c r="E50" s="65" t="str">
        <f>IF(Quantitative_Model!G50=1,"Upward","Downward")</f>
        <v>Upward</v>
      </c>
      <c r="F50" s="65" t="str">
        <f>IF(C50=Quantitative_Model!G50,"Correct","Incorrect")</f>
        <v>Correct</v>
      </c>
    </row>
    <row r="51" spans="1:6" x14ac:dyDescent="0.3">
      <c r="A51" s="58">
        <f>Market_Data_Raw!A51</f>
        <v>45706</v>
      </c>
      <c r="B51" s="59" t="str">
        <f>Market_Data_Raw!G51</f>
        <v>Nifty CPSE ETF subscription oversubscribed 4x in latest tranche</v>
      </c>
      <c r="C51" s="60">
        <f>Market_Data_Raw!H51</f>
        <v>1</v>
      </c>
      <c r="D51" s="61" t="str">
        <f t="shared" si="0"/>
        <v>Positive</v>
      </c>
      <c r="E51" s="61" t="str">
        <f>IF(Quantitative_Model!G51=1,"Upward","Downward")</f>
        <v>Downward</v>
      </c>
      <c r="F51" s="61" t="str">
        <f>IF(C51=Quantitative_Model!G51,"Correct","Incorrect")</f>
        <v>Incorrect</v>
      </c>
    </row>
    <row r="52" spans="1:6" x14ac:dyDescent="0.3">
      <c r="A52" s="62">
        <f>Market_Data_Raw!A52</f>
        <v>45707</v>
      </c>
      <c r="B52" s="63" t="str">
        <f>Market_Data_Raw!G52</f>
        <v>India credit growth at 14.2% YoY, broadly in line with RBI target</v>
      </c>
      <c r="C52" s="64">
        <f>Market_Data_Raw!H52</f>
        <v>0</v>
      </c>
      <c r="D52" s="65" t="str">
        <f t="shared" si="0"/>
        <v>Neutral</v>
      </c>
      <c r="E52" s="65" t="str">
        <f>IF(Quantitative_Model!G52=1,"Upward","Downward")</f>
        <v>Upward</v>
      </c>
      <c r="F52" s="65" t="str">
        <f>IF(C52=Quantitative_Model!G52,"Correct","Incorrect")</f>
        <v>Incorrect</v>
      </c>
    </row>
    <row r="53" spans="1:6" x14ac:dyDescent="0.3">
      <c r="A53" s="58">
        <f>Market_Data_Raw!A53</f>
        <v>45708</v>
      </c>
      <c r="B53" s="59" t="str">
        <f>Market_Data_Raw!G53</f>
        <v>India e-commerce GMV grows 34% YoY, retail sector stocks jump</v>
      </c>
      <c r="C53" s="60">
        <f>Market_Data_Raw!H53</f>
        <v>1</v>
      </c>
      <c r="D53" s="61" t="str">
        <f t="shared" si="0"/>
        <v>Positive</v>
      </c>
      <c r="E53" s="61" t="str">
        <f>IF(Quantitative_Model!G53=1,"Upward","Downward")</f>
        <v>Downward</v>
      </c>
      <c r="F53" s="61" t="str">
        <f>IF(C53=Quantitative_Model!G53,"Correct","Incorrect")</f>
        <v>Incorrect</v>
      </c>
    </row>
    <row r="54" spans="1:6" x14ac:dyDescent="0.3">
      <c r="A54" s="62">
        <f>Market_Data_Raw!A54</f>
        <v>45709</v>
      </c>
      <c r="B54" s="63" t="str">
        <f>Market_Data_Raw!G54</f>
        <v>Auto stocks rally as vehicle sales post record February numbers</v>
      </c>
      <c r="C54" s="64">
        <f>Market_Data_Raw!H54</f>
        <v>1</v>
      </c>
      <c r="D54" s="65" t="str">
        <f t="shared" si="0"/>
        <v>Positive</v>
      </c>
      <c r="E54" s="65" t="str">
        <f>IF(Quantitative_Model!G54=1,"Upward","Downward")</f>
        <v>Downward</v>
      </c>
      <c r="F54" s="65" t="str">
        <f>IF(C54=Quantitative_Model!G54,"Correct","Incorrect")</f>
        <v>Incorrect</v>
      </c>
    </row>
    <row r="55" spans="1:6" x14ac:dyDescent="0.3">
      <c r="A55" s="58">
        <f>Market_Data_Raw!A55</f>
        <v>45710</v>
      </c>
      <c r="B55" s="59" t="str">
        <f>Market_Data_Raw!G55</f>
        <v>Nifty up 260 points as IIP data beats consensus by wide margin</v>
      </c>
      <c r="C55" s="60">
        <f>Market_Data_Raw!H55</f>
        <v>1</v>
      </c>
      <c r="D55" s="61" t="str">
        <f t="shared" si="0"/>
        <v>Positive</v>
      </c>
      <c r="E55" s="61" t="str">
        <f>IF(Quantitative_Model!G55=1,"Upward","Downward")</f>
        <v>Upward</v>
      </c>
      <c r="F55" s="61" t="str">
        <f>IF(C55=Quantitative_Model!G55,"Correct","Incorrect")</f>
        <v>Correct</v>
      </c>
    </row>
    <row r="56" spans="1:6" x14ac:dyDescent="0.3">
      <c r="A56" s="62">
        <f>Market_Data_Raw!A56</f>
        <v>45711</v>
      </c>
      <c r="B56" s="63" t="str">
        <f>Market_Data_Raw!G56</f>
        <v>Nifty MNC index outperforms on strong global parent guidance</v>
      </c>
      <c r="C56" s="64">
        <f>Market_Data_Raw!H56</f>
        <v>1</v>
      </c>
      <c r="D56" s="65" t="str">
        <f t="shared" si="0"/>
        <v>Positive</v>
      </c>
      <c r="E56" s="65" t="str">
        <f>IF(Quantitative_Model!G56=1,"Upward","Downward")</f>
        <v>Upward</v>
      </c>
      <c r="F56" s="65" t="str">
        <f>IF(C56=Quantitative_Model!G56,"Correct","Incorrect")</f>
        <v>Correct</v>
      </c>
    </row>
    <row r="57" spans="1:6" x14ac:dyDescent="0.3">
      <c r="A57" s="58">
        <f>Market_Data_Raw!A57</f>
        <v>45712</v>
      </c>
      <c r="B57" s="59" t="str">
        <f>Market_Data_Raw!G57</f>
        <v>FMCG sector outperforms on robust rural demand recovery data</v>
      </c>
      <c r="C57" s="60">
        <f>Market_Data_Raw!H57</f>
        <v>1</v>
      </c>
      <c r="D57" s="61" t="str">
        <f t="shared" si="0"/>
        <v>Positive</v>
      </c>
      <c r="E57" s="61" t="str">
        <f>IF(Quantitative_Model!G57=1,"Upward","Downward")</f>
        <v>Upward</v>
      </c>
      <c r="F57" s="61" t="str">
        <f>IF(C57=Quantitative_Model!G57,"Correct","Incorrect")</f>
        <v>Correct</v>
      </c>
    </row>
    <row r="58" spans="1:6" x14ac:dyDescent="0.3">
      <c r="A58" s="62">
        <f>Market_Data_Raw!A58</f>
        <v>45713</v>
      </c>
      <c r="B58" s="63" t="str">
        <f>Market_Data_Raw!G58</f>
        <v>DII buying of ₹1,200 Cr broadly offsets modest FII selling today</v>
      </c>
      <c r="C58" s="64">
        <f>Market_Data_Raw!H58</f>
        <v>0</v>
      </c>
      <c r="D58" s="65" t="str">
        <f t="shared" si="0"/>
        <v>Neutral</v>
      </c>
      <c r="E58" s="65" t="str">
        <f>IF(Quantitative_Model!G58=1,"Upward","Downward")</f>
        <v>Downward</v>
      </c>
      <c r="F58" s="65" t="str">
        <f>IF(C58=Quantitative_Model!G58,"Correct","Incorrect")</f>
        <v>Incorrect</v>
      </c>
    </row>
    <row r="59" spans="1:6" x14ac:dyDescent="0.3">
      <c r="A59" s="58">
        <f>Market_Data_Raw!A59</f>
        <v>45714</v>
      </c>
      <c r="B59" s="59" t="str">
        <f>Market_Data_Raw!G59</f>
        <v>India trade data mixed: exports up 3.1%, imports up 4.6%</v>
      </c>
      <c r="C59" s="60">
        <f>Market_Data_Raw!H59</f>
        <v>0</v>
      </c>
      <c r="D59" s="61" t="str">
        <f t="shared" si="0"/>
        <v>Neutral</v>
      </c>
      <c r="E59" s="61" t="str">
        <f>IF(Quantitative_Model!G59=1,"Upward","Downward")</f>
        <v>Downward</v>
      </c>
      <c r="F59" s="61" t="str">
        <f>IF(C59=Quantitative_Model!G59,"Correct","Incorrect")</f>
        <v>Incorrect</v>
      </c>
    </row>
    <row r="60" spans="1:6" x14ac:dyDescent="0.3">
      <c r="A60" s="62">
        <f>Market_Data_Raw!A60</f>
        <v>45715</v>
      </c>
      <c r="B60" s="63" t="str">
        <f>Market_Data_Raw!G60</f>
        <v>Nifty50 sees highest single-day FII buying of ₹7,200 Cr</v>
      </c>
      <c r="C60" s="64">
        <f>Market_Data_Raw!H60</f>
        <v>1</v>
      </c>
      <c r="D60" s="65" t="str">
        <f t="shared" si="0"/>
        <v>Positive</v>
      </c>
      <c r="E60" s="65" t="str">
        <f>IF(Quantitative_Model!G60=1,"Upward","Downward")</f>
        <v>Upward</v>
      </c>
      <c r="F60" s="65" t="str">
        <f>IF(C60=Quantitative_Model!G60,"Correct","Incorrect")</f>
        <v>Correct</v>
      </c>
    </row>
    <row r="61" spans="1:6" x14ac:dyDescent="0.3">
      <c r="A61" s="58">
        <f>Market_Data_Raw!A61</f>
        <v>45716</v>
      </c>
      <c r="B61" s="59" t="str">
        <f>Market_Data_Raw!G61</f>
        <v>Nifty Smallcap 250 rises 2.6% as domestic flows pick up</v>
      </c>
      <c r="C61" s="60">
        <f>Market_Data_Raw!H61</f>
        <v>1</v>
      </c>
      <c r="D61" s="61" t="str">
        <f t="shared" si="0"/>
        <v>Positive</v>
      </c>
      <c r="E61" s="61" t="str">
        <f>IF(Quantitative_Model!G61=1,"Upward","Downward")</f>
        <v>Upward</v>
      </c>
      <c r="F61" s="61" t="str">
        <f>IF(C61=Quantitative_Model!G61,"Correct","Incorrect")</f>
        <v>Correct</v>
      </c>
    </row>
    <row r="62" spans="1:6" x14ac:dyDescent="0.3">
      <c r="A62" s="62">
        <f>Market_Data_Raw!A62</f>
        <v>45717</v>
      </c>
      <c r="B62" s="63" t="str">
        <f>Market_Data_Raw!G62</f>
        <v>Nifty50 year-to-date return at +12.4%, beats EM peer average</v>
      </c>
      <c r="C62" s="64">
        <f>Market_Data_Raw!H62</f>
        <v>1</v>
      </c>
      <c r="D62" s="65" t="str">
        <f t="shared" si="0"/>
        <v>Positive</v>
      </c>
      <c r="E62" s="65" t="str">
        <f>IF(Quantitative_Model!G62=1,"Upward","Downward")</f>
        <v>Downward</v>
      </c>
      <c r="F62" s="65" t="str">
        <f>IF(C62=Quantitative_Model!G62,"Correct","Incorrect")</f>
        <v>Incorrect</v>
      </c>
    </row>
    <row r="63" spans="1:6" x14ac:dyDescent="0.3">
      <c r="A63" s="58">
        <f>Market_Data_Raw!A63</f>
        <v>45718</v>
      </c>
      <c r="B63" s="59" t="str">
        <f>Market_Data_Raw!G63</f>
        <v>Market breadth strong as 1,850 stocks advance on NSE today</v>
      </c>
      <c r="C63" s="60">
        <f>Market_Data_Raw!H63</f>
        <v>1</v>
      </c>
      <c r="D63" s="61" t="str">
        <f t="shared" si="0"/>
        <v>Positive</v>
      </c>
      <c r="E63" s="61" t="str">
        <f>IF(Quantitative_Model!G63=1,"Upward","Downward")</f>
        <v>Downward</v>
      </c>
      <c r="F63" s="61" t="str">
        <f>IF(C63=Quantitative_Model!G63,"Correct","Incorrect")</f>
        <v>Incorrect</v>
      </c>
    </row>
    <row r="64" spans="1:6" x14ac:dyDescent="0.3">
      <c r="A64" s="62">
        <f>Market_Data_Raw!A64</f>
        <v>45719</v>
      </c>
      <c r="B64" s="63" t="str">
        <f>Market_Data_Raw!G64</f>
        <v>India corporate profit-to-GDP ratio highest in a decade</v>
      </c>
      <c r="C64" s="64">
        <f>Market_Data_Raw!H64</f>
        <v>1</v>
      </c>
      <c r="D64" s="65" t="str">
        <f t="shared" si="0"/>
        <v>Positive</v>
      </c>
      <c r="E64" s="65" t="str">
        <f>IF(Quantitative_Model!G64=1,"Upward","Downward")</f>
        <v>Downward</v>
      </c>
      <c r="F64" s="65" t="str">
        <f>IF(C64=Quantitative_Model!G64,"Correct","Incorrect")</f>
        <v>Incorrect</v>
      </c>
    </row>
    <row r="65" spans="1:6" x14ac:dyDescent="0.3">
      <c r="A65" s="58">
        <f>Market_Data_Raw!A65</f>
        <v>45720</v>
      </c>
      <c r="B65" s="59" t="str">
        <f>Market_Data_Raw!G65</f>
        <v>Nifty IT and Pharma trade in narrow bands; no trigger in view</v>
      </c>
      <c r="C65" s="60">
        <f>Market_Data_Raw!H65</f>
        <v>0</v>
      </c>
      <c r="D65" s="61" t="str">
        <f t="shared" si="0"/>
        <v>Neutral</v>
      </c>
      <c r="E65" s="61" t="str">
        <f>IF(Quantitative_Model!G65=1,"Upward","Downward")</f>
        <v>Downward</v>
      </c>
      <c r="F65" s="61" t="str">
        <f>IF(C65=Quantitative_Model!G65,"Correct","Incorrect")</f>
        <v>Incorrect</v>
      </c>
    </row>
    <row r="66" spans="1:6" x14ac:dyDescent="0.3">
      <c r="A66" s="62">
        <f>Market_Data_Raw!A66</f>
        <v>45721</v>
      </c>
      <c r="B66" s="63" t="str">
        <f>Market_Data_Raw!G66</f>
        <v>Nifty IT down 4.2% on major US layoff announcements at IT firms</v>
      </c>
      <c r="C66" s="64">
        <f>Market_Data_Raw!H66</f>
        <v>-1</v>
      </c>
      <c r="D66" s="65" t="str">
        <f t="shared" si="0"/>
        <v>Negative</v>
      </c>
      <c r="E66" s="65" t="str">
        <f>IF(Quantitative_Model!G66=1,"Upward","Downward")</f>
        <v>Upward</v>
      </c>
      <c r="F66" s="65" t="str">
        <f>IF(C66=Quantitative_Model!G66,"Correct","Incorrect")</f>
        <v>Incorrect</v>
      </c>
    </row>
    <row r="67" spans="1:6" x14ac:dyDescent="0.3">
      <c r="A67" s="58">
        <f>Market_Data_Raw!A67</f>
        <v>45722</v>
      </c>
      <c r="B67" s="59" t="str">
        <f>Market_Data_Raw!G67</f>
        <v>PSU banks hold gains from prior session, await RBI credit data</v>
      </c>
      <c r="C67" s="60">
        <f>Market_Data_Raw!H67</f>
        <v>0</v>
      </c>
      <c r="D67" s="61" t="str">
        <f t="shared" ref="D67:D130" si="1">IF(C67=1,"Positive",IF(C67=-1,"Negative","Neutral"))</f>
        <v>Neutral</v>
      </c>
      <c r="E67" s="61" t="str">
        <f>IF(Quantitative_Model!G67=1,"Upward","Downward")</f>
        <v>Upward</v>
      </c>
      <c r="F67" s="61" t="str">
        <f>IF(C67=Quantitative_Model!G67,"Correct","Incorrect")</f>
        <v>Incorrect</v>
      </c>
    </row>
    <row r="68" spans="1:6" x14ac:dyDescent="0.3">
      <c r="A68" s="62">
        <f>Market_Data_Raw!A68</f>
        <v>45723</v>
      </c>
      <c r="B68" s="63" t="str">
        <f>Market_Data_Raw!G68</f>
        <v>Nifty Diversified Banks index up 2.7% on CASA ratio improvement</v>
      </c>
      <c r="C68" s="64">
        <f>Market_Data_Raw!H68</f>
        <v>1</v>
      </c>
      <c r="D68" s="65" t="str">
        <f t="shared" si="1"/>
        <v>Positive</v>
      </c>
      <c r="E68" s="65" t="str">
        <f>IF(Quantitative_Model!G68=1,"Upward","Downward")</f>
        <v>Downward</v>
      </c>
      <c r="F68" s="65" t="str">
        <f>IF(C68=Quantitative_Model!G68,"Correct","Incorrect")</f>
        <v>Incorrect</v>
      </c>
    </row>
    <row r="69" spans="1:6" x14ac:dyDescent="0.3">
      <c r="A69" s="58">
        <f>Market_Data_Raw!A69</f>
        <v>45724</v>
      </c>
      <c r="B69" s="59" t="str">
        <f>Market_Data_Raw!G69</f>
        <v>Nifty50 gains 310 points in final hour on short-covering rally</v>
      </c>
      <c r="C69" s="60">
        <f>Market_Data_Raw!H69</f>
        <v>1</v>
      </c>
      <c r="D69" s="61" t="str">
        <f t="shared" si="1"/>
        <v>Positive</v>
      </c>
      <c r="E69" s="61" t="str">
        <f>IF(Quantitative_Model!G69=1,"Upward","Downward")</f>
        <v>Upward</v>
      </c>
      <c r="F69" s="61" t="str">
        <f>IF(C69=Quantitative_Model!G69,"Correct","Incorrect")</f>
        <v>Correct</v>
      </c>
    </row>
    <row r="70" spans="1:6" x14ac:dyDescent="0.3">
      <c r="A70" s="62">
        <f>Market_Data_Raw!A70</f>
        <v>45725</v>
      </c>
      <c r="B70" s="63" t="str">
        <f>Market_Data_Raw!G70</f>
        <v>GST collection tops ₹2.1 lakh Cr for third consecutive month</v>
      </c>
      <c r="C70" s="64">
        <f>Market_Data_Raw!H70</f>
        <v>1</v>
      </c>
      <c r="D70" s="65" t="str">
        <f t="shared" si="1"/>
        <v>Positive</v>
      </c>
      <c r="E70" s="65" t="str">
        <f>IF(Quantitative_Model!G70=1,"Upward","Downward")</f>
        <v>Upward</v>
      </c>
      <c r="F70" s="65" t="str">
        <f>IF(C70=Quantitative_Model!G70,"Correct","Incorrect")</f>
        <v>Correct</v>
      </c>
    </row>
    <row r="71" spans="1:6" x14ac:dyDescent="0.3">
      <c r="A71" s="58">
        <f>Market_Data_Raw!A71</f>
        <v>45726</v>
      </c>
      <c r="B71" s="59" t="str">
        <f>Market_Data_Raw!G71</f>
        <v>India LNG terminal capacity expansion boosts energy security</v>
      </c>
      <c r="C71" s="60">
        <f>Market_Data_Raw!H71</f>
        <v>0</v>
      </c>
      <c r="D71" s="61" t="str">
        <f t="shared" si="1"/>
        <v>Neutral</v>
      </c>
      <c r="E71" s="61" t="str">
        <f>IF(Quantitative_Model!G71=1,"Upward","Downward")</f>
        <v>Downward</v>
      </c>
      <c r="F71" s="61" t="str">
        <f>IF(C71=Quantitative_Model!G71,"Correct","Incorrect")</f>
        <v>Incorrect</v>
      </c>
    </row>
    <row r="72" spans="1:6" x14ac:dyDescent="0.3">
      <c r="A72" s="62">
        <f>Market_Data_Raw!A72</f>
        <v>45727</v>
      </c>
      <c r="B72" s="63" t="str">
        <f>Market_Data_Raw!G72</f>
        <v>Nifty Realty drops 3.5% on rising mortgage rate expectations</v>
      </c>
      <c r="C72" s="64">
        <f>Market_Data_Raw!H72</f>
        <v>-1</v>
      </c>
      <c r="D72" s="65" t="str">
        <f t="shared" si="1"/>
        <v>Negative</v>
      </c>
      <c r="E72" s="65" t="str">
        <f>IF(Quantitative_Model!G72=1,"Upward","Downward")</f>
        <v>Upward</v>
      </c>
      <c r="F72" s="65" t="str">
        <f>IF(C72=Quantitative_Model!G72,"Correct","Incorrect")</f>
        <v>Incorrect</v>
      </c>
    </row>
    <row r="73" spans="1:6" x14ac:dyDescent="0.3">
      <c r="A73" s="58">
        <f>Market_Data_Raw!A73</f>
        <v>45728</v>
      </c>
      <c r="B73" s="59" t="str">
        <f>Market_Data_Raw!G73</f>
        <v>Nifty50 September futures at 85-point premium; bullish rollover</v>
      </c>
      <c r="C73" s="60">
        <f>Market_Data_Raw!H73</f>
        <v>0</v>
      </c>
      <c r="D73" s="61" t="str">
        <f t="shared" si="1"/>
        <v>Neutral</v>
      </c>
      <c r="E73" s="61" t="str">
        <f>IF(Quantitative_Model!G73=1,"Upward","Downward")</f>
        <v>Upward</v>
      </c>
      <c r="F73" s="61" t="str">
        <f>IF(C73=Quantitative_Model!G73,"Correct","Incorrect")</f>
        <v>Incorrect</v>
      </c>
    </row>
    <row r="74" spans="1:6" x14ac:dyDescent="0.3">
      <c r="A74" s="62">
        <f>Market_Data_Raw!A74</f>
        <v>45729</v>
      </c>
      <c r="B74" s="63" t="str">
        <f>Market_Data_Raw!G74</f>
        <v>HDFC Bank shares up 4% post Q3 results, NPA at record low</v>
      </c>
      <c r="C74" s="64">
        <f>Market_Data_Raw!H74</f>
        <v>1</v>
      </c>
      <c r="D74" s="65" t="str">
        <f t="shared" si="1"/>
        <v>Positive</v>
      </c>
      <c r="E74" s="65" t="str">
        <f>IF(Quantitative_Model!G74=1,"Upward","Downward")</f>
        <v>Downward</v>
      </c>
      <c r="F74" s="65" t="str">
        <f>IF(C74=Quantitative_Model!G74,"Correct","Incorrect")</f>
        <v>Incorrect</v>
      </c>
    </row>
    <row r="75" spans="1:6" x14ac:dyDescent="0.3">
      <c r="A75" s="58">
        <f>Market_Data_Raw!A75</f>
        <v>45730</v>
      </c>
      <c r="B75" s="59" t="str">
        <f>Market_Data_Raw!G75</f>
        <v>Cement sector falls 2.4% on demand slowdown in northern states</v>
      </c>
      <c r="C75" s="60">
        <f>Market_Data_Raw!H75</f>
        <v>-1</v>
      </c>
      <c r="D75" s="61" t="str">
        <f t="shared" si="1"/>
        <v>Negative</v>
      </c>
      <c r="E75" s="61" t="str">
        <f>IF(Quantitative_Model!G75=1,"Upward","Downward")</f>
        <v>Upward</v>
      </c>
      <c r="F75" s="61" t="str">
        <f>IF(C75=Quantitative_Model!G75,"Correct","Incorrect")</f>
        <v>Incorrect</v>
      </c>
    </row>
    <row r="76" spans="1:6" x14ac:dyDescent="0.3">
      <c r="A76" s="62">
        <f>Market_Data_Raw!A76</f>
        <v>45731</v>
      </c>
      <c r="B76" s="63" t="str">
        <f>Market_Data_Raw!G76</f>
        <v>India budget session begins; markets watch for fiscal roadmap</v>
      </c>
      <c r="C76" s="64">
        <f>Market_Data_Raw!H76</f>
        <v>0</v>
      </c>
      <c r="D76" s="65" t="str">
        <f t="shared" si="1"/>
        <v>Neutral</v>
      </c>
      <c r="E76" s="65" t="str">
        <f>IF(Quantitative_Model!G76=1,"Upward","Downward")</f>
        <v>Downward</v>
      </c>
      <c r="F76" s="65" t="str">
        <f>IF(C76=Quantitative_Model!G76,"Correct","Incorrect")</f>
        <v>Incorrect</v>
      </c>
    </row>
    <row r="77" spans="1:6" x14ac:dyDescent="0.3">
      <c r="A77" s="58">
        <f>Market_Data_Raw!A77</f>
        <v>45732</v>
      </c>
      <c r="B77" s="59" t="str">
        <f>Market_Data_Raw!G77</f>
        <v>India core sector output rises 7.8%, Nifty defies global weakness</v>
      </c>
      <c r="C77" s="60">
        <f>Market_Data_Raw!H77</f>
        <v>1</v>
      </c>
      <c r="D77" s="61" t="str">
        <f t="shared" si="1"/>
        <v>Positive</v>
      </c>
      <c r="E77" s="61" t="str">
        <f>IF(Quantitative_Model!G77=1,"Upward","Downward")</f>
        <v>Upward</v>
      </c>
      <c r="F77" s="61" t="str">
        <f>IF(C77=Quantitative_Model!G77,"Correct","Incorrect")</f>
        <v>Correct</v>
      </c>
    </row>
    <row r="78" spans="1:6" x14ac:dyDescent="0.3">
      <c r="A78" s="62">
        <f>Market_Data_Raw!A78</f>
        <v>45733</v>
      </c>
      <c r="B78" s="63" t="str">
        <f>Market_Data_Raw!G78</f>
        <v>India semiconductor wafer fab PLI scheme attracts 6 major bids</v>
      </c>
      <c r="C78" s="64">
        <f>Market_Data_Raw!H78</f>
        <v>1</v>
      </c>
      <c r="D78" s="65" t="str">
        <f t="shared" si="1"/>
        <v>Positive</v>
      </c>
      <c r="E78" s="65" t="str">
        <f>IF(Quantitative_Model!G78=1,"Upward","Downward")</f>
        <v>Upward</v>
      </c>
      <c r="F78" s="65" t="str">
        <f>IF(C78=Quantitative_Model!G78,"Correct","Incorrect")</f>
        <v>Correct</v>
      </c>
    </row>
    <row r="79" spans="1:6" x14ac:dyDescent="0.3">
      <c r="A79" s="58">
        <f>Market_Data_Raw!A79</f>
        <v>45734</v>
      </c>
      <c r="B79" s="59" t="str">
        <f>Market_Data_Raw!G79</f>
        <v>India telecom stocks tumble on AGR dues ruling uncertainty</v>
      </c>
      <c r="C79" s="60">
        <f>Market_Data_Raw!H79</f>
        <v>-1</v>
      </c>
      <c r="D79" s="61" t="str">
        <f t="shared" si="1"/>
        <v>Negative</v>
      </c>
      <c r="E79" s="61" t="str">
        <f>IF(Quantitative_Model!G79=1,"Upward","Downward")</f>
        <v>Downward</v>
      </c>
      <c r="F79" s="61" t="str">
        <f>IF(C79=Quantitative_Model!G79,"Correct","Incorrect")</f>
        <v>Correct</v>
      </c>
    </row>
    <row r="80" spans="1:6" x14ac:dyDescent="0.3">
      <c r="A80" s="62">
        <f>Market_Data_Raw!A80</f>
        <v>45735</v>
      </c>
      <c r="B80" s="63" t="str">
        <f>Market_Data_Raw!G80</f>
        <v>China slowdown threatens India exports; auto and metal sectors fall</v>
      </c>
      <c r="C80" s="64">
        <f>Market_Data_Raw!H80</f>
        <v>-1</v>
      </c>
      <c r="D80" s="65" t="str">
        <f t="shared" si="1"/>
        <v>Negative</v>
      </c>
      <c r="E80" s="65" t="str">
        <f>IF(Quantitative_Model!G80=1,"Upward","Downward")</f>
        <v>Upward</v>
      </c>
      <c r="F80" s="65" t="str">
        <f>IF(C80=Quantitative_Model!G80,"Correct","Incorrect")</f>
        <v>Incorrect</v>
      </c>
    </row>
    <row r="81" spans="1:6" x14ac:dyDescent="0.3">
      <c r="A81" s="58">
        <f>Market_Data_Raw!A81</f>
        <v>45736</v>
      </c>
      <c r="B81" s="59" t="str">
        <f>Market_Data_Raw!G81</f>
        <v>Nifty IT Q4 revenue growth at 8.2% CC, above 7.5% estimate</v>
      </c>
      <c r="C81" s="60">
        <f>Market_Data_Raw!H81</f>
        <v>1</v>
      </c>
      <c r="D81" s="61" t="str">
        <f t="shared" si="1"/>
        <v>Positive</v>
      </c>
      <c r="E81" s="61" t="str">
        <f>IF(Quantitative_Model!G81=1,"Upward","Downward")</f>
        <v>Downward</v>
      </c>
      <c r="F81" s="61" t="str">
        <f>IF(C81=Quantitative_Model!G81,"Correct","Incorrect")</f>
        <v>Incorrect</v>
      </c>
    </row>
    <row r="82" spans="1:6" x14ac:dyDescent="0.3">
      <c r="A82" s="62">
        <f>Market_Data_Raw!A82</f>
        <v>45737</v>
      </c>
      <c r="B82" s="63" t="str">
        <f>Market_Data_Raw!G82</f>
        <v>Nifty Bank consolidates above 51,000; sector investors stay neutral</v>
      </c>
      <c r="C82" s="64">
        <f>Market_Data_Raw!H82</f>
        <v>0</v>
      </c>
      <c r="D82" s="65" t="str">
        <f t="shared" si="1"/>
        <v>Neutral</v>
      </c>
      <c r="E82" s="65" t="str">
        <f>IF(Quantitative_Model!G82=1,"Upward","Downward")</f>
        <v>Downward</v>
      </c>
      <c r="F82" s="65" t="str">
        <f>IF(C82=Quantitative_Model!G82,"Correct","Incorrect")</f>
        <v>Incorrect</v>
      </c>
    </row>
    <row r="83" spans="1:6" x14ac:dyDescent="0.3">
      <c r="A83" s="58">
        <f>Market_Data_Raw!A83</f>
        <v>45738</v>
      </c>
      <c r="B83" s="59" t="str">
        <f>Market_Data_Raw!G83</f>
        <v>SEBI approves new SME IPO norms boosting retail investor confidence</v>
      </c>
      <c r="C83" s="60">
        <f>Market_Data_Raw!H83</f>
        <v>1</v>
      </c>
      <c r="D83" s="61" t="str">
        <f t="shared" si="1"/>
        <v>Positive</v>
      </c>
      <c r="E83" s="61" t="str">
        <f>IF(Quantitative_Model!G83=1,"Upward","Downward")</f>
        <v>Upward</v>
      </c>
      <c r="F83" s="61" t="str">
        <f>IF(C83=Quantitative_Model!G83,"Correct","Incorrect")</f>
        <v>Correct</v>
      </c>
    </row>
    <row r="84" spans="1:6" x14ac:dyDescent="0.3">
      <c r="A84" s="62">
        <f>Market_Data_Raw!A84</f>
        <v>45739</v>
      </c>
      <c r="B84" s="63" t="str">
        <f>Market_Data_Raw!G84</f>
        <v>Nifty50 flat in early trade as mixed global cues keep market cautious</v>
      </c>
      <c r="C84" s="64">
        <f>Market_Data_Raw!H84</f>
        <v>0</v>
      </c>
      <c r="D84" s="65" t="str">
        <f t="shared" si="1"/>
        <v>Neutral</v>
      </c>
      <c r="E84" s="65" t="str">
        <f>IF(Quantitative_Model!G84=1,"Upward","Downward")</f>
        <v>Upward</v>
      </c>
      <c r="F84" s="65" t="str">
        <f>IF(C84=Quantitative_Model!G84,"Correct","Incorrect")</f>
        <v>Incorrect</v>
      </c>
    </row>
    <row r="85" spans="1:6" x14ac:dyDescent="0.3">
      <c r="A85" s="58">
        <f>Market_Data_Raw!A85</f>
        <v>45740</v>
      </c>
      <c r="B85" s="59" t="str">
        <f>Market_Data_Raw!G85</f>
        <v>Foreign portfolio inflows hit ₹12,000 Cr in a single session</v>
      </c>
      <c r="C85" s="60">
        <f>Market_Data_Raw!H85</f>
        <v>1</v>
      </c>
      <c r="D85" s="61" t="str">
        <f t="shared" si="1"/>
        <v>Positive</v>
      </c>
      <c r="E85" s="61" t="str">
        <f>IF(Quantitative_Model!G85=1,"Upward","Downward")</f>
        <v>Downward</v>
      </c>
      <c r="F85" s="61" t="str">
        <f>IF(C85=Quantitative_Model!G85,"Correct","Incorrect")</f>
        <v>Incorrect</v>
      </c>
    </row>
    <row r="86" spans="1:6" x14ac:dyDescent="0.3">
      <c r="A86" s="62">
        <f>Market_Data_Raw!A86</f>
        <v>45741</v>
      </c>
      <c r="B86" s="63" t="str">
        <f>Market_Data_Raw!G86</f>
        <v>Nifty trades sideways as FII and DII flows largely offset each other</v>
      </c>
      <c r="C86" s="64">
        <f>Market_Data_Raw!H86</f>
        <v>0</v>
      </c>
      <c r="D86" s="65" t="str">
        <f t="shared" si="1"/>
        <v>Neutral</v>
      </c>
      <c r="E86" s="65" t="str">
        <f>IF(Quantitative_Model!G86=1,"Upward","Downward")</f>
        <v>Downward</v>
      </c>
      <c r="F86" s="65" t="str">
        <f>IF(C86=Quantitative_Model!G86,"Correct","Incorrect")</f>
        <v>Incorrect</v>
      </c>
    </row>
    <row r="87" spans="1:6" x14ac:dyDescent="0.3">
      <c r="A87" s="58">
        <f>Market_Data_Raw!A87</f>
        <v>45742</v>
      </c>
      <c r="B87" s="59" t="str">
        <f>Market_Data_Raw!G87</f>
        <v>India urban unemployment falls to 6.8%, consumption outlook positive</v>
      </c>
      <c r="C87" s="60">
        <f>Market_Data_Raw!H87</f>
        <v>1</v>
      </c>
      <c r="D87" s="61" t="str">
        <f t="shared" si="1"/>
        <v>Positive</v>
      </c>
      <c r="E87" s="61" t="str">
        <f>IF(Quantitative_Model!G87=1,"Upward","Downward")</f>
        <v>Downward</v>
      </c>
      <c r="F87" s="61" t="str">
        <f>IF(C87=Quantitative_Model!G87,"Correct","Incorrect")</f>
        <v>Incorrect</v>
      </c>
    </row>
    <row r="88" spans="1:6" x14ac:dyDescent="0.3">
      <c r="A88" s="62">
        <f>Market_Data_Raw!A88</f>
        <v>45743</v>
      </c>
      <c r="B88" s="63" t="str">
        <f>Market_Data_Raw!G88</f>
        <v>Nifty Consumer Durables falls 2.6% on weak urban demand data</v>
      </c>
      <c r="C88" s="64">
        <f>Market_Data_Raw!H88</f>
        <v>-1</v>
      </c>
      <c r="D88" s="65" t="str">
        <f t="shared" si="1"/>
        <v>Negative</v>
      </c>
      <c r="E88" s="65" t="str">
        <f>IF(Quantitative_Model!G88=1,"Upward","Downward")</f>
        <v>Upward</v>
      </c>
      <c r="F88" s="65" t="str">
        <f>IF(C88=Quantitative_Model!G88,"Correct","Incorrect")</f>
        <v>Incorrect</v>
      </c>
    </row>
    <row r="89" spans="1:6" x14ac:dyDescent="0.3">
      <c r="A89" s="58">
        <f>Market_Data_Raw!A89</f>
        <v>45744</v>
      </c>
      <c r="B89" s="59" t="str">
        <f>Market_Data_Raw!G89</f>
        <v>India corporate issuance of green bonds crosses ₹80,000 Cr</v>
      </c>
      <c r="C89" s="60">
        <f>Market_Data_Raw!H89</f>
        <v>-1</v>
      </c>
      <c r="D89" s="61" t="str">
        <f t="shared" si="1"/>
        <v>Negative</v>
      </c>
      <c r="E89" s="61" t="str">
        <f>IF(Quantitative_Model!G89=1,"Upward","Downward")</f>
        <v>Upward</v>
      </c>
      <c r="F89" s="61" t="str">
        <f>IF(C89=Quantitative_Model!G89,"Correct","Incorrect")</f>
        <v>Incorrect</v>
      </c>
    </row>
    <row r="90" spans="1:6" x14ac:dyDescent="0.3">
      <c r="A90" s="62">
        <f>Market_Data_Raw!A90</f>
        <v>45745</v>
      </c>
      <c r="B90" s="63" t="str">
        <f>Market_Data_Raw!G90</f>
        <v>Nifty50 premium to EM valuation narrows as earnings catch up</v>
      </c>
      <c r="C90" s="64">
        <f>Market_Data_Raw!H90</f>
        <v>0</v>
      </c>
      <c r="D90" s="65" t="str">
        <f t="shared" si="1"/>
        <v>Neutral</v>
      </c>
      <c r="E90" s="65" t="str">
        <f>IF(Quantitative_Model!G90=1,"Upward","Downward")</f>
        <v>Downward</v>
      </c>
      <c r="F90" s="65" t="str">
        <f>IF(C90=Quantitative_Model!G90,"Correct","Incorrect")</f>
        <v>Incorrect</v>
      </c>
    </row>
    <row r="91" spans="1:6" x14ac:dyDescent="0.3">
      <c r="A91" s="58">
        <f>Market_Data_Raw!A91</f>
        <v>45746</v>
      </c>
      <c r="B91" s="59" t="str">
        <f>Market_Data_Raw!G91</f>
        <v>Bank NPAs rise in PSU segment; lenders down 2-4% across board</v>
      </c>
      <c r="C91" s="60">
        <f>Market_Data_Raw!H91</f>
        <v>-1</v>
      </c>
      <c r="D91" s="61" t="str">
        <f t="shared" si="1"/>
        <v>Negative</v>
      </c>
      <c r="E91" s="61" t="str">
        <f>IF(Quantitative_Model!G91=1,"Upward","Downward")</f>
        <v>Upward</v>
      </c>
      <c r="F91" s="61" t="str">
        <f>IF(C91=Quantitative_Model!G91,"Correct","Incorrect")</f>
        <v>Incorrect</v>
      </c>
    </row>
    <row r="92" spans="1:6" x14ac:dyDescent="0.3">
      <c r="A92" s="62">
        <f>Market_Data_Raw!A92</f>
        <v>45747</v>
      </c>
      <c r="B92" s="63" t="str">
        <f>Market_Data_Raw!G92</f>
        <v>India-US bilateral trade talks progress slowly; no immediate impact</v>
      </c>
      <c r="C92" s="64">
        <f>Market_Data_Raw!H92</f>
        <v>0</v>
      </c>
      <c r="D92" s="65" t="str">
        <f t="shared" si="1"/>
        <v>Neutral</v>
      </c>
      <c r="E92" s="65" t="str">
        <f>IF(Quantitative_Model!G92=1,"Upward","Downward")</f>
        <v>Upward</v>
      </c>
      <c r="F92" s="65" t="str">
        <f>IF(C92=Quantitative_Model!G92,"Correct","Incorrect")</f>
        <v>Incorrect</v>
      </c>
    </row>
    <row r="93" spans="1:6" x14ac:dyDescent="0.3">
      <c r="A93" s="58">
        <f>Market_Data_Raw!A93</f>
        <v>45748</v>
      </c>
      <c r="B93" s="59" t="str">
        <f>Market_Data_Raw!G93</f>
        <v>India retail inflation lowest since May 2023 at 3.9%</v>
      </c>
      <c r="C93" s="60">
        <f>Market_Data_Raw!H93</f>
        <v>1</v>
      </c>
      <c r="D93" s="61" t="str">
        <f t="shared" si="1"/>
        <v>Positive</v>
      </c>
      <c r="E93" s="61" t="str">
        <f>IF(Quantitative_Model!G93=1,"Upward","Downward")</f>
        <v>Upward</v>
      </c>
      <c r="F93" s="61" t="str">
        <f>IF(C93=Quantitative_Model!G93,"Correct","Incorrect")</f>
        <v>Correct</v>
      </c>
    </row>
    <row r="94" spans="1:6" x14ac:dyDescent="0.3">
      <c r="A94" s="62">
        <f>Market_Data_Raw!A94</f>
        <v>45749</v>
      </c>
      <c r="B94" s="63" t="str">
        <f>Market_Data_Raw!G94</f>
        <v>India-UK free trade agreement progress boosts pharma and IT</v>
      </c>
      <c r="C94" s="64">
        <f>Market_Data_Raw!H94</f>
        <v>1</v>
      </c>
      <c r="D94" s="65" t="str">
        <f t="shared" si="1"/>
        <v>Positive</v>
      </c>
      <c r="E94" s="65" t="str">
        <f>IF(Quantitative_Model!G94=1,"Upward","Downward")</f>
        <v>Downward</v>
      </c>
      <c r="F94" s="65" t="str">
        <f>IF(C94=Quantitative_Model!G94,"Correct","Incorrect")</f>
        <v>Incorrect</v>
      </c>
    </row>
    <row r="95" spans="1:6" x14ac:dyDescent="0.3">
      <c r="A95" s="58">
        <f>Market_Data_Raw!A95</f>
        <v>45750</v>
      </c>
      <c r="B95" s="59" t="str">
        <f>Market_Data_Raw!G95</f>
        <v>India electricity generation crosses 2,000 BU in FY2025</v>
      </c>
      <c r="C95" s="60">
        <f>Market_Data_Raw!H95</f>
        <v>1</v>
      </c>
      <c r="D95" s="61" t="str">
        <f t="shared" si="1"/>
        <v>Positive</v>
      </c>
      <c r="E95" s="61" t="str">
        <f>IF(Quantitative_Model!G95=1,"Upward","Downward")</f>
        <v>Downward</v>
      </c>
      <c r="F95" s="61" t="str">
        <f>IF(C95=Quantitative_Model!G95,"Correct","Incorrect")</f>
        <v>Incorrect</v>
      </c>
    </row>
    <row r="96" spans="1:6" x14ac:dyDescent="0.3">
      <c r="A96" s="62">
        <f>Market_Data_Raw!A96</f>
        <v>45751</v>
      </c>
      <c r="B96" s="63" t="str">
        <f>Market_Data_Raw!G96</f>
        <v>Nifty500 Value 50 index outperforms growth index in Q2</v>
      </c>
      <c r="C96" s="64">
        <f>Market_Data_Raw!H96</f>
        <v>1</v>
      </c>
      <c r="D96" s="65" t="str">
        <f t="shared" si="1"/>
        <v>Positive</v>
      </c>
      <c r="E96" s="65" t="str">
        <f>IF(Quantitative_Model!G96=1,"Upward","Downward")</f>
        <v>Downward</v>
      </c>
      <c r="F96" s="65" t="str">
        <f>IF(C96=Quantitative_Model!G96,"Correct","Incorrect")</f>
        <v>Incorrect</v>
      </c>
    </row>
    <row r="97" spans="1:6" x14ac:dyDescent="0.3">
      <c r="A97" s="58">
        <f>Market_Data_Raw!A97</f>
        <v>45752</v>
      </c>
      <c r="B97" s="59" t="str">
        <f>Market_Data_Raw!G97</f>
        <v>India PMI composite at 60.5, signals broad economic expansion</v>
      </c>
      <c r="C97" s="60">
        <f>Market_Data_Raw!H97</f>
        <v>1</v>
      </c>
      <c r="D97" s="61" t="str">
        <f t="shared" si="1"/>
        <v>Positive</v>
      </c>
      <c r="E97" s="61" t="str">
        <f>IF(Quantitative_Model!G97=1,"Upward","Downward")</f>
        <v>Downward</v>
      </c>
      <c r="F97" s="61" t="str">
        <f>IF(C97=Quantitative_Model!G97,"Correct","Incorrect")</f>
        <v>Incorrect</v>
      </c>
    </row>
    <row r="98" spans="1:6" x14ac:dyDescent="0.3">
      <c r="A98" s="62">
        <f>Market_Data_Raw!A98</f>
        <v>45753</v>
      </c>
      <c r="B98" s="63" t="str">
        <f>Market_Data_Raw!G98</f>
        <v>India manufacturing PMI at 57.3, highest in 14 months</v>
      </c>
      <c r="C98" s="64">
        <f>Market_Data_Raw!H98</f>
        <v>1</v>
      </c>
      <c r="D98" s="65" t="str">
        <f t="shared" si="1"/>
        <v>Positive</v>
      </c>
      <c r="E98" s="65" t="str">
        <f>IF(Quantitative_Model!G98=1,"Upward","Downward")</f>
        <v>Upward</v>
      </c>
      <c r="F98" s="65" t="str">
        <f>IF(C98=Quantitative_Model!G98,"Correct","Incorrect")</f>
        <v>Correct</v>
      </c>
    </row>
    <row r="99" spans="1:6" x14ac:dyDescent="0.3">
      <c r="A99" s="58">
        <f>Market_Data_Raw!A99</f>
        <v>45754</v>
      </c>
      <c r="B99" s="59" t="str">
        <f>Market_Data_Raw!G99</f>
        <v>Nifty Metal index plunges 3.7% on China steel dumping fears</v>
      </c>
      <c r="C99" s="60">
        <f>Market_Data_Raw!H99</f>
        <v>-1</v>
      </c>
      <c r="D99" s="61" t="str">
        <f t="shared" si="1"/>
        <v>Negative</v>
      </c>
      <c r="E99" s="61" t="str">
        <f>IF(Quantitative_Model!G99=1,"Upward","Downward")</f>
        <v>Upward</v>
      </c>
      <c r="F99" s="61" t="str">
        <f>IF(C99=Quantitative_Model!G99,"Correct","Incorrect")</f>
        <v>Incorrect</v>
      </c>
    </row>
    <row r="100" spans="1:6" x14ac:dyDescent="0.3">
      <c r="A100" s="62">
        <f>Market_Data_Raw!A100</f>
        <v>45755</v>
      </c>
      <c r="B100" s="63" t="str">
        <f>Market_Data_Raw!G100</f>
        <v>Nifty500 unchanged ahead of index rebalancing effective month-end</v>
      </c>
      <c r="C100" s="64">
        <f>Market_Data_Raw!H100</f>
        <v>0</v>
      </c>
      <c r="D100" s="65" t="str">
        <f t="shared" si="1"/>
        <v>Neutral</v>
      </c>
      <c r="E100" s="65" t="str">
        <f>IF(Quantitative_Model!G100=1,"Upward","Downward")</f>
        <v>Upward</v>
      </c>
      <c r="F100" s="65" t="str">
        <f>IF(C100=Quantitative_Model!G100,"Correct","Incorrect")</f>
        <v>Incorrect</v>
      </c>
    </row>
    <row r="101" spans="1:6" x14ac:dyDescent="0.3">
      <c r="A101" s="58">
        <f>Market_Data_Raw!A101</f>
        <v>45756</v>
      </c>
      <c r="B101" s="59" t="str">
        <f>Market_Data_Raw!G101</f>
        <v>India new home sales up 18% QoQ on lower mortgage rates</v>
      </c>
      <c r="C101" s="60">
        <f>Market_Data_Raw!H101</f>
        <v>1</v>
      </c>
      <c r="D101" s="61" t="str">
        <f t="shared" si="1"/>
        <v>Positive</v>
      </c>
      <c r="E101" s="61" t="str">
        <f>IF(Quantitative_Model!G101=1,"Upward","Downward")</f>
        <v>Downward</v>
      </c>
      <c r="F101" s="61" t="str">
        <f>IF(C101=Quantitative_Model!G101,"Correct","Incorrect")</f>
        <v>Incorrect</v>
      </c>
    </row>
    <row r="102" spans="1:6" x14ac:dyDescent="0.3">
      <c r="A102" s="62">
        <f>Market_Data_Raw!A102</f>
        <v>45757</v>
      </c>
      <c r="B102" s="63" t="str">
        <f>Market_Data_Raw!G102</f>
        <v>Markets unchanged as investors digest mixed corporate earnings</v>
      </c>
      <c r="C102" s="64">
        <f>Market_Data_Raw!H102</f>
        <v>0</v>
      </c>
      <c r="D102" s="65" t="str">
        <f t="shared" si="1"/>
        <v>Neutral</v>
      </c>
      <c r="E102" s="65" t="str">
        <f>IF(Quantitative_Model!G102=1,"Upward","Downward")</f>
        <v>Downward</v>
      </c>
      <c r="F102" s="65" t="str">
        <f>IF(C102=Quantitative_Model!G102,"Correct","Incorrect")</f>
        <v>Incorrect</v>
      </c>
    </row>
    <row r="103" spans="1:6" x14ac:dyDescent="0.3">
      <c r="A103" s="58">
        <f>Market_Data_Raw!A103</f>
        <v>45758</v>
      </c>
      <c r="B103" s="59" t="str">
        <f>Market_Data_Raw!G103</f>
        <v>UltraTech Cement Q3 margins expand, infrastructure rally continues</v>
      </c>
      <c r="C103" s="60">
        <f>Market_Data_Raw!H103</f>
        <v>1</v>
      </c>
      <c r="D103" s="61" t="str">
        <f t="shared" si="1"/>
        <v>Positive</v>
      </c>
      <c r="E103" s="61" t="str">
        <f>IF(Quantitative_Model!G103=1,"Upward","Downward")</f>
        <v>Downward</v>
      </c>
      <c r="F103" s="61" t="str">
        <f>IF(C103=Quantitative_Model!G103,"Correct","Incorrect")</f>
        <v>Incorrect</v>
      </c>
    </row>
    <row r="104" spans="1:6" x14ac:dyDescent="0.3">
      <c r="A104" s="62">
        <f>Market_Data_Raw!A104</f>
        <v>45759</v>
      </c>
      <c r="B104" s="63" t="str">
        <f>Market_Data_Raw!G104</f>
        <v>India business confidence survey hits 5-year high: FICCI data</v>
      </c>
      <c r="C104" s="64">
        <f>Market_Data_Raw!H104</f>
        <v>1</v>
      </c>
      <c r="D104" s="65" t="str">
        <f t="shared" si="1"/>
        <v>Positive</v>
      </c>
      <c r="E104" s="65" t="str">
        <f>IF(Quantitative_Model!G104=1,"Upward","Downward")</f>
        <v>Downward</v>
      </c>
      <c r="F104" s="65" t="str">
        <f>IF(C104=Quantitative_Model!G104,"Correct","Incorrect")</f>
        <v>Incorrect</v>
      </c>
    </row>
    <row r="105" spans="1:6" x14ac:dyDescent="0.3">
      <c r="A105" s="58">
        <f>Market_Data_Raw!A105</f>
        <v>45760</v>
      </c>
      <c r="B105" s="59" t="str">
        <f>Market_Data_Raw!G105</f>
        <v>India IT hiring improves marginally, signals sector recovery</v>
      </c>
      <c r="C105" s="60">
        <f>Market_Data_Raw!H105</f>
        <v>0</v>
      </c>
      <c r="D105" s="61" t="str">
        <f t="shared" si="1"/>
        <v>Neutral</v>
      </c>
      <c r="E105" s="61" t="str">
        <f>IF(Quantitative_Model!G105=1,"Upward","Downward")</f>
        <v>Downward</v>
      </c>
      <c r="F105" s="61" t="str">
        <f>IF(C105=Quantitative_Model!G105,"Correct","Incorrect")</f>
        <v>Incorrect</v>
      </c>
    </row>
    <row r="106" spans="1:6" x14ac:dyDescent="0.3">
      <c r="A106" s="62">
        <f>Market_Data_Raw!A106</f>
        <v>45761</v>
      </c>
      <c r="B106" s="63" t="str">
        <f>Market_Data_Raw!G106</f>
        <v>Nifty50 holds key support at 24,000 as volumes remain thin</v>
      </c>
      <c r="C106" s="64">
        <f>Market_Data_Raw!H106</f>
        <v>0</v>
      </c>
      <c r="D106" s="65" t="str">
        <f t="shared" si="1"/>
        <v>Neutral</v>
      </c>
      <c r="E106" s="65" t="str">
        <f>IF(Quantitative_Model!G106=1,"Upward","Downward")</f>
        <v>Downward</v>
      </c>
      <c r="F106" s="65" t="str">
        <f>IF(C106=Quantitative_Model!G106,"Correct","Incorrect")</f>
        <v>Incorrect</v>
      </c>
    </row>
    <row r="107" spans="1:6" x14ac:dyDescent="0.3">
      <c r="A107" s="58">
        <f>Market_Data_Raw!A107</f>
        <v>45762</v>
      </c>
      <c r="B107" s="59" t="str">
        <f>Market_Data_Raw!G107</f>
        <v>Sun Pharma US generics pipeline gets 3 ANDA approvals</v>
      </c>
      <c r="C107" s="60">
        <f>Market_Data_Raw!H107</f>
        <v>1</v>
      </c>
      <c r="D107" s="61" t="str">
        <f t="shared" si="1"/>
        <v>Positive</v>
      </c>
      <c r="E107" s="61" t="str">
        <f>IF(Quantitative_Model!G107=1,"Upward","Downward")</f>
        <v>Upward</v>
      </c>
      <c r="F107" s="61" t="str">
        <f>IF(C107=Quantitative_Model!G107,"Correct","Incorrect")</f>
        <v>Correct</v>
      </c>
    </row>
    <row r="108" spans="1:6" x14ac:dyDescent="0.3">
      <c r="A108" s="62">
        <f>Market_Data_Raw!A108</f>
        <v>45763</v>
      </c>
      <c r="B108" s="63" t="str">
        <f>Market_Data_Raw!G108</f>
        <v>Nifty Mid Small IT index up 4.2% on SaaS segment deal wins</v>
      </c>
      <c r="C108" s="64">
        <f>Market_Data_Raw!H108</f>
        <v>1</v>
      </c>
      <c r="D108" s="65" t="str">
        <f t="shared" si="1"/>
        <v>Positive</v>
      </c>
      <c r="E108" s="65" t="str">
        <f>IF(Quantitative_Model!G108=1,"Upward","Downward")</f>
        <v>Upward</v>
      </c>
      <c r="F108" s="65" t="str">
        <f>IF(C108=Quantitative_Model!G108,"Correct","Incorrect")</f>
        <v>Correct</v>
      </c>
    </row>
    <row r="109" spans="1:6" x14ac:dyDescent="0.3">
      <c r="A109" s="58">
        <f>Market_Data_Raw!A109</f>
        <v>45764</v>
      </c>
      <c r="B109" s="59" t="str">
        <f>Market_Data_Raw!G109</f>
        <v>India forex reserves hit all-time high of $712 billion</v>
      </c>
      <c r="C109" s="60">
        <f>Market_Data_Raw!H109</f>
        <v>1</v>
      </c>
      <c r="D109" s="61" t="str">
        <f t="shared" si="1"/>
        <v>Positive</v>
      </c>
      <c r="E109" s="61" t="str">
        <f>IF(Quantitative_Model!G109=1,"Upward","Downward")</f>
        <v>Upward</v>
      </c>
      <c r="F109" s="61" t="str">
        <f>IF(C109=Quantitative_Model!G109,"Correct","Incorrect")</f>
        <v>Correct</v>
      </c>
    </row>
    <row r="110" spans="1:6" x14ac:dyDescent="0.3">
      <c r="A110" s="62">
        <f>Market_Data_Raw!A110</f>
        <v>45765</v>
      </c>
      <c r="B110" s="63" t="str">
        <f>Market_Data_Raw!G110</f>
        <v>NBFC liquidity tightens; market-wide risk aversion rises</v>
      </c>
      <c r="C110" s="64">
        <f>Market_Data_Raw!H110</f>
        <v>-1</v>
      </c>
      <c r="D110" s="65" t="str">
        <f t="shared" si="1"/>
        <v>Negative</v>
      </c>
      <c r="E110" s="65" t="str">
        <f>IF(Quantitative_Model!G110=1,"Upward","Downward")</f>
        <v>Upward</v>
      </c>
      <c r="F110" s="65" t="str">
        <f>IF(C110=Quantitative_Model!G110,"Correct","Incorrect")</f>
        <v>Incorrect</v>
      </c>
    </row>
    <row r="111" spans="1:6" x14ac:dyDescent="0.3">
      <c r="A111" s="58">
        <f>Market_Data_Raw!A111</f>
        <v>45766</v>
      </c>
      <c r="B111" s="59" t="str">
        <f>Market_Data_Raw!G111</f>
        <v>India textile sector gets boost from EU trade agreement news</v>
      </c>
      <c r="C111" s="60">
        <f>Market_Data_Raw!H111</f>
        <v>-1</v>
      </c>
      <c r="D111" s="61" t="str">
        <f t="shared" si="1"/>
        <v>Negative</v>
      </c>
      <c r="E111" s="61" t="str">
        <f>IF(Quantitative_Model!G111=1,"Upward","Downward")</f>
        <v>Downward</v>
      </c>
      <c r="F111" s="61" t="str">
        <f>IF(C111=Quantitative_Model!G111,"Correct","Incorrect")</f>
        <v>Correct</v>
      </c>
    </row>
    <row r="112" spans="1:6" x14ac:dyDescent="0.3">
      <c r="A112" s="62">
        <f>Market_Data_Raw!A112</f>
        <v>45767</v>
      </c>
      <c r="B112" s="63" t="str">
        <f>Market_Data_Raw!G112</f>
        <v>Crude oil spike to $98 pushes OMC stocks to 52-week lows</v>
      </c>
      <c r="C112" s="64">
        <f>Market_Data_Raw!H112</f>
        <v>-1</v>
      </c>
      <c r="D112" s="65" t="str">
        <f t="shared" si="1"/>
        <v>Negative</v>
      </c>
      <c r="E112" s="65" t="str">
        <f>IF(Quantitative_Model!G112=1,"Upward","Downward")</f>
        <v>Downward</v>
      </c>
      <c r="F112" s="65" t="str">
        <f>IF(C112=Quantitative_Model!G112,"Correct","Incorrect")</f>
        <v>Correct</v>
      </c>
    </row>
    <row r="113" spans="1:6" x14ac:dyDescent="0.3">
      <c r="A113" s="58">
        <f>Market_Data_Raw!A113</f>
        <v>45768</v>
      </c>
      <c r="B113" s="59" t="str">
        <f>Market_Data_Raw!G113</f>
        <v>India's ease of doing business ranking improves to 63rd globally</v>
      </c>
      <c r="C113" s="60">
        <f>Market_Data_Raw!H113</f>
        <v>1</v>
      </c>
      <c r="D113" s="61" t="str">
        <f t="shared" si="1"/>
        <v>Positive</v>
      </c>
      <c r="E113" s="61" t="str">
        <f>IF(Quantitative_Model!G113=1,"Upward","Downward")</f>
        <v>Upward</v>
      </c>
      <c r="F113" s="61" t="str">
        <f>IF(C113=Quantitative_Model!G113,"Correct","Incorrect")</f>
        <v>Correct</v>
      </c>
    </row>
    <row r="114" spans="1:6" x14ac:dyDescent="0.3">
      <c r="A114" s="62">
        <f>Market_Data_Raw!A114</f>
        <v>45769</v>
      </c>
      <c r="B114" s="63" t="str">
        <f>Market_Data_Raw!G114</f>
        <v>Nifty Healthcare index rallies 3.1% on domestic sector optimism</v>
      </c>
      <c r="C114" s="64">
        <f>Market_Data_Raw!H114</f>
        <v>1</v>
      </c>
      <c r="D114" s="65" t="str">
        <f t="shared" si="1"/>
        <v>Positive</v>
      </c>
      <c r="E114" s="65" t="str">
        <f>IF(Quantitative_Model!G114=1,"Upward","Downward")</f>
        <v>Upward</v>
      </c>
      <c r="F114" s="65" t="str">
        <f>IF(C114=Quantitative_Model!G114,"Correct","Incorrect")</f>
        <v>Correct</v>
      </c>
    </row>
    <row r="115" spans="1:6" x14ac:dyDescent="0.3">
      <c r="A115" s="58">
        <f>Market_Data_Raw!A115</f>
        <v>45770</v>
      </c>
      <c r="B115" s="59" t="str">
        <f>Market_Data_Raw!G115</f>
        <v>Nifty500 gains 1.4% as RBI increases FPI debt investment limit</v>
      </c>
      <c r="C115" s="60">
        <f>Market_Data_Raw!H115</f>
        <v>1</v>
      </c>
      <c r="D115" s="61" t="str">
        <f t="shared" si="1"/>
        <v>Positive</v>
      </c>
      <c r="E115" s="61" t="str">
        <f>IF(Quantitative_Model!G115=1,"Upward","Downward")</f>
        <v>Upward</v>
      </c>
      <c r="F115" s="61" t="str">
        <f>IF(C115=Quantitative_Model!G115,"Correct","Incorrect")</f>
        <v>Correct</v>
      </c>
    </row>
    <row r="116" spans="1:6" x14ac:dyDescent="0.3">
      <c r="A116" s="62">
        <f>Market_Data_Raw!A116</f>
        <v>45771</v>
      </c>
      <c r="B116" s="63" t="str">
        <f>Market_Data_Raw!G116</f>
        <v>US yield inversion deepens, triggering emerging market outflows</v>
      </c>
      <c r="C116" s="64">
        <f>Market_Data_Raw!H116</f>
        <v>-1</v>
      </c>
      <c r="D116" s="65" t="str">
        <f t="shared" si="1"/>
        <v>Negative</v>
      </c>
      <c r="E116" s="65" t="str">
        <f>IF(Quantitative_Model!G116=1,"Upward","Downward")</f>
        <v>Downward</v>
      </c>
      <c r="F116" s="65" t="str">
        <f>IF(C116=Quantitative_Model!G116,"Correct","Incorrect")</f>
        <v>Correct</v>
      </c>
    </row>
    <row r="117" spans="1:6" x14ac:dyDescent="0.3">
      <c r="A117" s="58">
        <f>Market_Data_Raw!A117</f>
        <v>45772</v>
      </c>
      <c r="B117" s="59" t="str">
        <f>Market_Data_Raw!G117</f>
        <v>India WPI inflation stable at 2.1%; no major reaction in bonds</v>
      </c>
      <c r="C117" s="60">
        <f>Market_Data_Raw!H117</f>
        <v>0</v>
      </c>
      <c r="D117" s="61" t="str">
        <f t="shared" si="1"/>
        <v>Neutral</v>
      </c>
      <c r="E117" s="61" t="str">
        <f>IF(Quantitative_Model!G117=1,"Upward","Downward")</f>
        <v>Upward</v>
      </c>
      <c r="F117" s="61" t="str">
        <f>IF(C117=Quantitative_Model!G117,"Correct","Incorrect")</f>
        <v>Incorrect</v>
      </c>
    </row>
    <row r="118" spans="1:6" x14ac:dyDescent="0.3">
      <c r="A118" s="62">
        <f>Market_Data_Raw!A118</f>
        <v>45773</v>
      </c>
      <c r="B118" s="63" t="str">
        <f>Market_Data_Raw!G118</f>
        <v>India inflation surges to 6.7%, above RBI tolerance band</v>
      </c>
      <c r="C118" s="64">
        <f>Market_Data_Raw!H118</f>
        <v>-1</v>
      </c>
      <c r="D118" s="65" t="str">
        <f t="shared" si="1"/>
        <v>Negative</v>
      </c>
      <c r="E118" s="65" t="str">
        <f>IF(Quantitative_Model!G118=1,"Upward","Downward")</f>
        <v>Upward</v>
      </c>
      <c r="F118" s="65" t="str">
        <f>IF(C118=Quantitative_Model!G118,"Correct","Incorrect")</f>
        <v>Incorrect</v>
      </c>
    </row>
    <row r="119" spans="1:6" x14ac:dyDescent="0.3">
      <c r="A119" s="58">
        <f>Market_Data_Raw!A119</f>
        <v>45774</v>
      </c>
      <c r="B119" s="59" t="str">
        <f>Market_Data_Raw!G119</f>
        <v>Nifty50 weekly options writing attracts institutional interest</v>
      </c>
      <c r="C119" s="60">
        <f>Market_Data_Raw!H119</f>
        <v>0</v>
      </c>
      <c r="D119" s="61" t="str">
        <f t="shared" si="1"/>
        <v>Neutral</v>
      </c>
      <c r="E119" s="61" t="str">
        <f>IF(Quantitative_Model!G119=1,"Upward","Downward")</f>
        <v>Downward</v>
      </c>
      <c r="F119" s="61" t="str">
        <f>IF(C119=Quantitative_Model!G119,"Correct","Incorrect")</f>
        <v>Incorrect</v>
      </c>
    </row>
    <row r="120" spans="1:6" x14ac:dyDescent="0.3">
      <c r="A120" s="62">
        <f>Market_Data_Raw!A120</f>
        <v>45775</v>
      </c>
      <c r="B120" s="63" t="str">
        <f>Market_Data_Raw!G120</f>
        <v>India Q4 FY25 trade surplus in services at $17.2 Bn record</v>
      </c>
      <c r="C120" s="64">
        <f>Market_Data_Raw!H120</f>
        <v>1</v>
      </c>
      <c r="D120" s="65" t="str">
        <f t="shared" si="1"/>
        <v>Positive</v>
      </c>
      <c r="E120" s="65" t="str">
        <f>IF(Quantitative_Model!G120=1,"Upward","Downward")</f>
        <v>Upward</v>
      </c>
      <c r="F120" s="65" t="str">
        <f>IF(C120=Quantitative_Model!G120,"Correct","Incorrect")</f>
        <v>Correct</v>
      </c>
    </row>
    <row r="121" spans="1:6" x14ac:dyDescent="0.3">
      <c r="A121" s="58">
        <f>Market_Data_Raw!A121</f>
        <v>45776</v>
      </c>
      <c r="B121" s="59" t="str">
        <f>Market_Data_Raw!G121</f>
        <v>DIIs average buying of ₹4,800 Cr/day in July, highest this year</v>
      </c>
      <c r="C121" s="60">
        <f>Market_Data_Raw!H121</f>
        <v>1</v>
      </c>
      <c r="D121" s="61" t="str">
        <f t="shared" si="1"/>
        <v>Positive</v>
      </c>
      <c r="E121" s="61" t="str">
        <f>IF(Quantitative_Model!G121=1,"Upward","Downward")</f>
        <v>Upward</v>
      </c>
      <c r="F121" s="61" t="str">
        <f>IF(C121=Quantitative_Model!G121,"Correct","Incorrect")</f>
        <v>Correct</v>
      </c>
    </row>
    <row r="122" spans="1:6" x14ac:dyDescent="0.3">
      <c r="A122" s="62">
        <f>Market_Data_Raw!A122</f>
        <v>45777</v>
      </c>
      <c r="B122" s="63" t="str">
        <f>Market_Data_Raw!G122</f>
        <v>Sensex surges to all-time high on strong corporate earnings season</v>
      </c>
      <c r="C122" s="64">
        <f>Market_Data_Raw!H122</f>
        <v>1</v>
      </c>
      <c r="D122" s="65" t="str">
        <f t="shared" si="1"/>
        <v>Positive</v>
      </c>
      <c r="E122" s="65" t="str">
        <f>IF(Quantitative_Model!G122=1,"Upward","Downward")</f>
        <v>Upward</v>
      </c>
      <c r="F122" s="65" t="str">
        <f>IF(C122=Quantitative_Model!G122,"Correct","Incorrect")</f>
        <v>Correct</v>
      </c>
    </row>
    <row r="123" spans="1:6" x14ac:dyDescent="0.3">
      <c r="A123" s="58">
        <f>Market_Data_Raw!A123</f>
        <v>45778</v>
      </c>
      <c r="B123" s="59" t="str">
        <f>Market_Data_Raw!G123</f>
        <v>Nifty PSU Bank index down 3.8% on rising NPA disclosure concerns</v>
      </c>
      <c r="C123" s="60">
        <f>Market_Data_Raw!H123</f>
        <v>-1</v>
      </c>
      <c r="D123" s="61" t="str">
        <f t="shared" si="1"/>
        <v>Negative</v>
      </c>
      <c r="E123" s="61" t="str">
        <f>IF(Quantitative_Model!G123=1,"Upward","Downward")</f>
        <v>Downward</v>
      </c>
      <c r="F123" s="61" t="str">
        <f>IF(C123=Quantitative_Model!G123,"Correct","Incorrect")</f>
        <v>Correct</v>
      </c>
    </row>
    <row r="124" spans="1:6" x14ac:dyDescent="0.3">
      <c r="A124" s="62">
        <f>Market_Data_Raw!A124</f>
        <v>45779</v>
      </c>
      <c r="B124" s="63" t="str">
        <f>Market_Data_Raw!G124</f>
        <v>India capital goods sector up 3.1% on order inflow visibility</v>
      </c>
      <c r="C124" s="64">
        <f>Market_Data_Raw!H124</f>
        <v>1</v>
      </c>
      <c r="D124" s="65" t="str">
        <f t="shared" si="1"/>
        <v>Positive</v>
      </c>
      <c r="E124" s="65" t="str">
        <f>IF(Quantitative_Model!G124=1,"Upward","Downward")</f>
        <v>Upward</v>
      </c>
      <c r="F124" s="65" t="str">
        <f>IF(C124=Quantitative_Model!G124,"Correct","Incorrect")</f>
        <v>Correct</v>
      </c>
    </row>
    <row r="125" spans="1:6" x14ac:dyDescent="0.3">
      <c r="A125" s="58">
        <f>Market_Data_Raw!A125</f>
        <v>45780</v>
      </c>
      <c r="B125" s="59" t="str">
        <f>Market_Data_Raw!G125</f>
        <v>India Q3 GDP growth at 7.4%, beats all analyst estimates</v>
      </c>
      <c r="C125" s="60">
        <f>Market_Data_Raw!H125</f>
        <v>1</v>
      </c>
      <c r="D125" s="61" t="str">
        <f t="shared" si="1"/>
        <v>Positive</v>
      </c>
      <c r="E125" s="61" t="str">
        <f>IF(Quantitative_Model!G125=1,"Upward","Downward")</f>
        <v>Downward</v>
      </c>
      <c r="F125" s="61" t="str">
        <f>IF(C125=Quantitative_Model!G125,"Correct","Incorrect")</f>
        <v>Incorrect</v>
      </c>
    </row>
    <row r="126" spans="1:6" x14ac:dyDescent="0.3">
      <c r="A126" s="62">
        <f>Market_Data_Raw!A126</f>
        <v>45781</v>
      </c>
      <c r="B126" s="63" t="str">
        <f>Market_Data_Raw!G126</f>
        <v>Nifty Financial Services index hits new record on NBFC reforms</v>
      </c>
      <c r="C126" s="64">
        <f>Market_Data_Raw!H126</f>
        <v>1</v>
      </c>
      <c r="D126" s="65" t="str">
        <f t="shared" si="1"/>
        <v>Positive</v>
      </c>
      <c r="E126" s="65" t="str">
        <f>IF(Quantitative_Model!G126=1,"Upward","Downward")</f>
        <v>Upward</v>
      </c>
      <c r="F126" s="65" t="str">
        <f>IF(C126=Quantitative_Model!G126,"Correct","Incorrect")</f>
        <v>Correct</v>
      </c>
    </row>
    <row r="127" spans="1:6" x14ac:dyDescent="0.3">
      <c r="A127" s="58">
        <f>Market_Data_Raw!A127</f>
        <v>45782</v>
      </c>
      <c r="B127" s="59" t="str">
        <f>Market_Data_Raw!G127</f>
        <v>India power demand growth at 6.1% YoY, in-line with forecasts</v>
      </c>
      <c r="C127" s="60">
        <f>Market_Data_Raw!H127</f>
        <v>0</v>
      </c>
      <c r="D127" s="61" t="str">
        <f t="shared" si="1"/>
        <v>Neutral</v>
      </c>
      <c r="E127" s="61" t="str">
        <f>IF(Quantitative_Model!G127=1,"Upward","Downward")</f>
        <v>Upward</v>
      </c>
      <c r="F127" s="61" t="str">
        <f>IF(C127=Quantitative_Model!G127,"Correct","Incorrect")</f>
        <v>Incorrect</v>
      </c>
    </row>
    <row r="128" spans="1:6" x14ac:dyDescent="0.3">
      <c r="A128" s="62">
        <f>Market_Data_Raw!A128</f>
        <v>45783</v>
      </c>
      <c r="B128" s="63" t="str">
        <f>Market_Data_Raw!G128</f>
        <v>India fintech payment volumes cross ₹20 lakh Cr monthly</v>
      </c>
      <c r="C128" s="64">
        <f>Market_Data_Raw!H128</f>
        <v>0</v>
      </c>
      <c r="D128" s="65" t="str">
        <f t="shared" si="1"/>
        <v>Neutral</v>
      </c>
      <c r="E128" s="65" t="str">
        <f>IF(Quantitative_Model!G128=1,"Upward","Downward")</f>
        <v>Downward</v>
      </c>
      <c r="F128" s="65" t="str">
        <f>IF(C128=Quantitative_Model!G128,"Correct","Incorrect")</f>
        <v>Incorrect</v>
      </c>
    </row>
    <row r="129" spans="1:6" x14ac:dyDescent="0.3">
      <c r="A129" s="58">
        <f>Market_Data_Raw!A129</f>
        <v>45784</v>
      </c>
      <c r="B129" s="59" t="str">
        <f>Market_Data_Raw!G129</f>
        <v>Coal India dividend of ₹25/share announced, PSU stocks surge</v>
      </c>
      <c r="C129" s="60">
        <f>Market_Data_Raw!H129</f>
        <v>1</v>
      </c>
      <c r="D129" s="61" t="str">
        <f t="shared" si="1"/>
        <v>Positive</v>
      </c>
      <c r="E129" s="61" t="str">
        <f>IF(Quantitative_Model!G129=1,"Upward","Downward")</f>
        <v>Downward</v>
      </c>
      <c r="F129" s="61" t="str">
        <f>IF(C129=Quantitative_Model!G129,"Correct","Incorrect")</f>
        <v>Incorrect</v>
      </c>
    </row>
    <row r="130" spans="1:6" x14ac:dyDescent="0.3">
      <c r="A130" s="62">
        <f>Market_Data_Raw!A130</f>
        <v>45785</v>
      </c>
      <c r="B130" s="63" t="str">
        <f>Market_Data_Raw!G130</f>
        <v>Markets await US FOMC meeting minutes for next direction cue</v>
      </c>
      <c r="C130" s="64">
        <f>Market_Data_Raw!H130</f>
        <v>0</v>
      </c>
      <c r="D130" s="65" t="str">
        <f t="shared" si="1"/>
        <v>Neutral</v>
      </c>
      <c r="E130" s="65" t="str">
        <f>IF(Quantitative_Model!G130=1,"Upward","Downward")</f>
        <v>Upward</v>
      </c>
      <c r="F130" s="65" t="str">
        <f>IF(C130=Quantitative_Model!G130,"Correct","Incorrect")</f>
        <v>Incorrect</v>
      </c>
    </row>
    <row r="131" spans="1:6" x14ac:dyDescent="0.3">
      <c r="A131" s="58">
        <f>Market_Data_Raw!A131</f>
        <v>45786</v>
      </c>
      <c r="B131" s="59" t="str">
        <f>Market_Data_Raw!G131</f>
        <v>Nifty PSU Bank index up 4.2% on strong asset quality numbers</v>
      </c>
      <c r="C131" s="60">
        <f>Market_Data_Raw!H131</f>
        <v>1</v>
      </c>
      <c r="D131" s="61" t="str">
        <f t="shared" ref="D131:D194" si="2">IF(C131=1,"Positive",IF(C131=-1,"Negative","Neutral"))</f>
        <v>Positive</v>
      </c>
      <c r="E131" s="61" t="str">
        <f>IF(Quantitative_Model!G131=1,"Upward","Downward")</f>
        <v>Downward</v>
      </c>
      <c r="F131" s="61" t="str">
        <f>IF(C131=Quantitative_Model!G131,"Correct","Incorrect")</f>
        <v>Incorrect</v>
      </c>
    </row>
    <row r="132" spans="1:6" x14ac:dyDescent="0.3">
      <c r="A132" s="62">
        <f>Market_Data_Raw!A132</f>
        <v>45787</v>
      </c>
      <c r="B132" s="63" t="str">
        <f>Market_Data_Raw!G132</f>
        <v>Paytm shares hit circuit down; fintech sector under pressure</v>
      </c>
      <c r="C132" s="64">
        <f>Market_Data_Raw!H132</f>
        <v>-1</v>
      </c>
      <c r="D132" s="65" t="str">
        <f t="shared" si="2"/>
        <v>Negative</v>
      </c>
      <c r="E132" s="65" t="str">
        <f>IF(Quantitative_Model!G132=1,"Upward","Downward")</f>
        <v>Downward</v>
      </c>
      <c r="F132" s="65" t="str">
        <f>IF(C132=Quantitative_Model!G132,"Correct","Incorrect")</f>
        <v>Correct</v>
      </c>
    </row>
    <row r="133" spans="1:6" x14ac:dyDescent="0.3">
      <c r="A133" s="58">
        <f>Market_Data_Raw!A133</f>
        <v>45788</v>
      </c>
      <c r="B133" s="59" t="str">
        <f>Market_Data_Raw!G133</f>
        <v>India fiscal deficit at 76% of target in just 7 months</v>
      </c>
      <c r="C133" s="60">
        <f>Market_Data_Raw!H133</f>
        <v>-1</v>
      </c>
      <c r="D133" s="61" t="str">
        <f t="shared" si="2"/>
        <v>Negative</v>
      </c>
      <c r="E133" s="61" t="str">
        <f>IF(Quantitative_Model!G133=1,"Upward","Downward")</f>
        <v>Upward</v>
      </c>
      <c r="F133" s="61" t="str">
        <f>IF(C133=Quantitative_Model!G133,"Correct","Incorrect")</f>
        <v>Incorrect</v>
      </c>
    </row>
    <row r="134" spans="1:6" x14ac:dyDescent="0.3">
      <c r="A134" s="62">
        <f>Market_Data_Raw!A134</f>
        <v>45789</v>
      </c>
      <c r="B134" s="63" t="str">
        <f>Market_Data_Raw!G134</f>
        <v>India bond market awaits large government bond auction outcome</v>
      </c>
      <c r="C134" s="64">
        <f>Market_Data_Raw!H134</f>
        <v>0</v>
      </c>
      <c r="D134" s="65" t="str">
        <f t="shared" si="2"/>
        <v>Neutral</v>
      </c>
      <c r="E134" s="65" t="str">
        <f>IF(Quantitative_Model!G134=1,"Upward","Downward")</f>
        <v>Downward</v>
      </c>
      <c r="F134" s="65" t="str">
        <f>IF(C134=Quantitative_Model!G134,"Correct","Incorrect")</f>
        <v>Incorrect</v>
      </c>
    </row>
    <row r="135" spans="1:6" x14ac:dyDescent="0.3">
      <c r="A135" s="58">
        <f>Market_Data_Raw!A135</f>
        <v>45790</v>
      </c>
      <c r="B135" s="59" t="str">
        <f>Market_Data_Raw!G135</f>
        <v>Nifty REIT index up 2.3% on strong office leasing demand</v>
      </c>
      <c r="C135" s="60">
        <f>Market_Data_Raw!H135</f>
        <v>0</v>
      </c>
      <c r="D135" s="61" t="str">
        <f t="shared" si="2"/>
        <v>Neutral</v>
      </c>
      <c r="E135" s="61" t="str">
        <f>IF(Quantitative_Model!G135=1,"Upward","Downward")</f>
        <v>Upward</v>
      </c>
      <c r="F135" s="61" t="str">
        <f>IF(C135=Quantitative_Model!G135,"Correct","Incorrect")</f>
        <v>Incorrect</v>
      </c>
    </row>
    <row r="136" spans="1:6" x14ac:dyDescent="0.3">
      <c r="A136" s="62">
        <f>Market_Data_Raw!A136</f>
        <v>45791</v>
      </c>
      <c r="B136" s="63" t="str">
        <f>Market_Data_Raw!G136</f>
        <v>Nifty50 Q3 earnings growth estimated at 14% YoY: analyst poll</v>
      </c>
      <c r="C136" s="64">
        <f>Market_Data_Raw!H136</f>
        <v>-1</v>
      </c>
      <c r="D136" s="65" t="str">
        <f t="shared" si="2"/>
        <v>Negative</v>
      </c>
      <c r="E136" s="65" t="str">
        <f>IF(Quantitative_Model!G136=1,"Upward","Downward")</f>
        <v>Downward</v>
      </c>
      <c r="F136" s="65" t="str">
        <f>IF(C136=Quantitative_Model!G136,"Correct","Incorrect")</f>
        <v>Correct</v>
      </c>
    </row>
    <row r="137" spans="1:6" x14ac:dyDescent="0.3">
      <c r="A137" s="58">
        <f>Market_Data_Raw!A137</f>
        <v>45792</v>
      </c>
      <c r="B137" s="59" t="str">
        <f>Market_Data_Raw!G137</f>
        <v>India services PMI at 59.1, highest reading in two years</v>
      </c>
      <c r="C137" s="60">
        <f>Market_Data_Raw!H137</f>
        <v>1</v>
      </c>
      <c r="D137" s="61" t="str">
        <f t="shared" si="2"/>
        <v>Positive</v>
      </c>
      <c r="E137" s="61" t="str">
        <f>IF(Quantitative_Model!G137=1,"Upward","Downward")</f>
        <v>Upward</v>
      </c>
      <c r="F137" s="61" t="str">
        <f>IF(C137=Quantitative_Model!G137,"Correct","Incorrect")</f>
        <v>Correct</v>
      </c>
    </row>
    <row r="138" spans="1:6" x14ac:dyDescent="0.3">
      <c r="A138" s="62">
        <f>Market_Data_Raw!A138</f>
        <v>45793</v>
      </c>
      <c r="B138" s="63" t="str">
        <f>Market_Data_Raw!G138</f>
        <v>Nifty Bank crosses 52,000 for first time on credit growth data</v>
      </c>
      <c r="C138" s="64">
        <f>Market_Data_Raw!H138</f>
        <v>1</v>
      </c>
      <c r="D138" s="65" t="str">
        <f t="shared" si="2"/>
        <v>Positive</v>
      </c>
      <c r="E138" s="65" t="str">
        <f>IF(Quantitative_Model!G138=1,"Upward","Downward")</f>
        <v>Downward</v>
      </c>
      <c r="F138" s="65" t="str">
        <f>IF(C138=Quantitative_Model!G138,"Correct","Incorrect")</f>
        <v>Incorrect</v>
      </c>
    </row>
    <row r="139" spans="1:6" x14ac:dyDescent="0.3">
      <c r="A139" s="58">
        <f>Market_Data_Raw!A139</f>
        <v>45794</v>
      </c>
      <c r="B139" s="59" t="str">
        <f>Market_Data_Raw!G139</f>
        <v>India aviation stocks soar as passenger traffic hits peak</v>
      </c>
      <c r="C139" s="60">
        <f>Market_Data_Raw!H139</f>
        <v>0</v>
      </c>
      <c r="D139" s="61" t="str">
        <f t="shared" si="2"/>
        <v>Neutral</v>
      </c>
      <c r="E139" s="61" t="str">
        <f>IF(Quantitative_Model!G139=1,"Upward","Downward")</f>
        <v>Downward</v>
      </c>
      <c r="F139" s="61" t="str">
        <f>IF(C139=Quantitative_Model!G139,"Correct","Incorrect")</f>
        <v>Incorrect</v>
      </c>
    </row>
    <row r="140" spans="1:6" x14ac:dyDescent="0.3">
      <c r="A140" s="62">
        <f>Market_Data_Raw!A140</f>
        <v>45795</v>
      </c>
      <c r="B140" s="63" t="str">
        <f>Market_Data_Raw!G140</f>
        <v>DII buying of ₹3,400 Cr cushions market on FII selling day</v>
      </c>
      <c r="C140" s="64">
        <f>Market_Data_Raw!H140</f>
        <v>1</v>
      </c>
      <c r="D140" s="65" t="str">
        <f t="shared" si="2"/>
        <v>Positive</v>
      </c>
      <c r="E140" s="65" t="str">
        <f>IF(Quantitative_Model!G140=1,"Upward","Downward")</f>
        <v>Upward</v>
      </c>
      <c r="F140" s="65" t="str">
        <f>IF(C140=Quantitative_Model!G140,"Correct","Incorrect")</f>
        <v>Correct</v>
      </c>
    </row>
    <row r="141" spans="1:6" x14ac:dyDescent="0.3">
      <c r="A141" s="58">
        <f>Market_Data_Raw!A141</f>
        <v>45796</v>
      </c>
      <c r="B141" s="59" t="str">
        <f>Market_Data_Raw!G141</f>
        <v>India's fiscal deficit FY2025 final at 5.1%, better than target</v>
      </c>
      <c r="C141" s="60">
        <f>Market_Data_Raw!H141</f>
        <v>1</v>
      </c>
      <c r="D141" s="61" t="str">
        <f t="shared" si="2"/>
        <v>Positive</v>
      </c>
      <c r="E141" s="61" t="str">
        <f>IF(Quantitative_Model!G141=1,"Upward","Downward")</f>
        <v>Downward</v>
      </c>
      <c r="F141" s="61" t="str">
        <f>IF(C141=Quantitative_Model!G141,"Correct","Incorrect")</f>
        <v>Incorrect</v>
      </c>
    </row>
    <row r="142" spans="1:6" x14ac:dyDescent="0.3">
      <c r="A142" s="62">
        <f>Market_Data_Raw!A142</f>
        <v>45797</v>
      </c>
      <c r="B142" s="63" t="str">
        <f>Market_Data_Raw!G142</f>
        <v>Nifty50 range-bound session; global cues awaited for direction</v>
      </c>
      <c r="C142" s="64">
        <f>Market_Data_Raw!H142</f>
        <v>0</v>
      </c>
      <c r="D142" s="65" t="str">
        <f t="shared" si="2"/>
        <v>Neutral</v>
      </c>
      <c r="E142" s="65" t="str">
        <f>IF(Quantitative_Model!G142=1,"Upward","Downward")</f>
        <v>Upward</v>
      </c>
      <c r="F142" s="65" t="str">
        <f>IF(C142=Quantitative_Model!G142,"Correct","Incorrect")</f>
        <v>Incorrect</v>
      </c>
    </row>
    <row r="143" spans="1:6" x14ac:dyDescent="0.3">
      <c r="A143" s="58">
        <f>Market_Data_Raw!A143</f>
        <v>45798</v>
      </c>
      <c r="B143" s="59" t="str">
        <f>Market_Data_Raw!G143</f>
        <v>LIC dividend surprise of ₹6/share drives PSU insurance rally</v>
      </c>
      <c r="C143" s="60">
        <f>Market_Data_Raw!H143</f>
        <v>1</v>
      </c>
      <c r="D143" s="61" t="str">
        <f t="shared" si="2"/>
        <v>Positive</v>
      </c>
      <c r="E143" s="61" t="str">
        <f>IF(Quantitative_Model!G143=1,"Upward","Downward")</f>
        <v>Upward</v>
      </c>
      <c r="F143" s="61" t="str">
        <f>IF(C143=Quantitative_Model!G143,"Correct","Incorrect")</f>
        <v>Correct</v>
      </c>
    </row>
    <row r="144" spans="1:6" x14ac:dyDescent="0.3">
      <c r="A144" s="62">
        <f>Market_Data_Raw!A144</f>
        <v>45799</v>
      </c>
      <c r="B144" s="63" t="str">
        <f>Market_Data_Raw!G144</f>
        <v>Nifty50 crosses 25,000 for first time this quarter</v>
      </c>
      <c r="C144" s="64">
        <f>Market_Data_Raw!H144</f>
        <v>0</v>
      </c>
      <c r="D144" s="65" t="str">
        <f t="shared" si="2"/>
        <v>Neutral</v>
      </c>
      <c r="E144" s="65" t="str">
        <f>IF(Quantitative_Model!G144=1,"Upward","Downward")</f>
        <v>Downward</v>
      </c>
      <c r="F144" s="65" t="str">
        <f>IF(C144=Quantitative_Model!G144,"Correct","Incorrect")</f>
        <v>Incorrect</v>
      </c>
    </row>
    <row r="145" spans="1:6" x14ac:dyDescent="0.3">
      <c r="A145" s="58">
        <f>Market_Data_Raw!A145</f>
        <v>45800</v>
      </c>
      <c r="B145" s="59" t="str">
        <f>Market_Data_Raw!G145</f>
        <v>FII buying in Nifty F&amp;O segment signals sustained bullish outlook</v>
      </c>
      <c r="C145" s="60">
        <f>Market_Data_Raw!H145</f>
        <v>1</v>
      </c>
      <c r="D145" s="61" t="str">
        <f t="shared" si="2"/>
        <v>Positive</v>
      </c>
      <c r="E145" s="61" t="str">
        <f>IF(Quantitative_Model!G145=1,"Upward","Downward")</f>
        <v>Upward</v>
      </c>
      <c r="F145" s="61" t="str">
        <f>IF(C145=Quantitative_Model!G145,"Correct","Incorrect")</f>
        <v>Correct</v>
      </c>
    </row>
    <row r="146" spans="1:6" x14ac:dyDescent="0.3">
      <c r="A146" s="62">
        <f>Market_Data_Raw!A146</f>
        <v>45801</v>
      </c>
      <c r="B146" s="63" t="str">
        <f>Market_Data_Raw!G146</f>
        <v>India hospitality sector hits 5-year high occupancy in Q3</v>
      </c>
      <c r="C146" s="64">
        <f>Market_Data_Raw!H146</f>
        <v>0</v>
      </c>
      <c r="D146" s="65" t="str">
        <f t="shared" si="2"/>
        <v>Neutral</v>
      </c>
      <c r="E146" s="65" t="str">
        <f>IF(Quantitative_Model!G146=1,"Upward","Downward")</f>
        <v>Upward</v>
      </c>
      <c r="F146" s="65" t="str">
        <f>IF(C146=Quantitative_Model!G146,"Correct","Incorrect")</f>
        <v>Incorrect</v>
      </c>
    </row>
    <row r="147" spans="1:6" x14ac:dyDescent="0.3">
      <c r="A147" s="58">
        <f>Market_Data_Raw!A147</f>
        <v>45802</v>
      </c>
      <c r="B147" s="59" t="str">
        <f>Market_Data_Raw!G147</f>
        <v>India bond yields fall to 6.82% on strong demand at RBI auction</v>
      </c>
      <c r="C147" s="60">
        <f>Market_Data_Raw!H147</f>
        <v>1</v>
      </c>
      <c r="D147" s="61" t="str">
        <f t="shared" si="2"/>
        <v>Positive</v>
      </c>
      <c r="E147" s="61" t="str">
        <f>IF(Quantitative_Model!G147=1,"Upward","Downward")</f>
        <v>Upward</v>
      </c>
      <c r="F147" s="61" t="str">
        <f>IF(C147=Quantitative_Model!G147,"Correct","Incorrect")</f>
        <v>Correct</v>
      </c>
    </row>
    <row r="148" spans="1:6" x14ac:dyDescent="0.3">
      <c r="A148" s="62">
        <f>Market_Data_Raw!A148</f>
        <v>45803</v>
      </c>
      <c r="B148" s="63" t="str">
        <f>Market_Data_Raw!G148</f>
        <v>India current account deficit widens to 2.8% of GDP, rupee weak</v>
      </c>
      <c r="C148" s="64">
        <f>Market_Data_Raw!H148</f>
        <v>-1</v>
      </c>
      <c r="D148" s="65" t="str">
        <f t="shared" si="2"/>
        <v>Negative</v>
      </c>
      <c r="E148" s="65" t="str">
        <f>IF(Quantitative_Model!G148=1,"Upward","Downward")</f>
        <v>Downward</v>
      </c>
      <c r="F148" s="65" t="str">
        <f>IF(C148=Quantitative_Model!G148,"Correct","Incorrect")</f>
        <v>Correct</v>
      </c>
    </row>
    <row r="149" spans="1:6" x14ac:dyDescent="0.3">
      <c r="A149" s="58">
        <f>Market_Data_Raw!A149</f>
        <v>45804</v>
      </c>
      <c r="B149" s="59" t="str">
        <f>Market_Data_Raw!G149</f>
        <v>India 10-year bond yield rises to 7.35%, equity valuations pressured</v>
      </c>
      <c r="C149" s="60">
        <f>Market_Data_Raw!H149</f>
        <v>-1</v>
      </c>
      <c r="D149" s="61" t="str">
        <f t="shared" si="2"/>
        <v>Negative</v>
      </c>
      <c r="E149" s="61" t="str">
        <f>IF(Quantitative_Model!G149=1,"Upward","Downward")</f>
        <v>Downward</v>
      </c>
      <c r="F149" s="61" t="str">
        <f>IF(C149=Quantitative_Model!G149,"Correct","Incorrect")</f>
        <v>Correct</v>
      </c>
    </row>
    <row r="150" spans="1:6" x14ac:dyDescent="0.3">
      <c r="A150" s="62">
        <f>Market_Data_Raw!A150</f>
        <v>45805</v>
      </c>
      <c r="B150" s="63" t="str">
        <f>Market_Data_Raw!G150</f>
        <v>Nifty Realty crosses 1,000 mark for first time in its history</v>
      </c>
      <c r="C150" s="64">
        <f>Market_Data_Raw!H150</f>
        <v>0</v>
      </c>
      <c r="D150" s="65" t="str">
        <f t="shared" si="2"/>
        <v>Neutral</v>
      </c>
      <c r="E150" s="65" t="str">
        <f>IF(Quantitative_Model!G150=1,"Upward","Downward")</f>
        <v>Upward</v>
      </c>
      <c r="F150" s="65" t="str">
        <f>IF(C150=Quantitative_Model!G150,"Correct","Incorrect")</f>
        <v>Incorrect</v>
      </c>
    </row>
    <row r="151" spans="1:6" x14ac:dyDescent="0.3">
      <c r="A151" s="58">
        <f>Market_Data_Raw!A151</f>
        <v>45806</v>
      </c>
      <c r="B151" s="59" t="str">
        <f>Market_Data_Raw!G151</f>
        <v>Strong Q3 results season: 68% of Nifty50 companies beat estimates</v>
      </c>
      <c r="C151" s="60">
        <f>Market_Data_Raw!H151</f>
        <v>1</v>
      </c>
      <c r="D151" s="61" t="str">
        <f t="shared" si="2"/>
        <v>Positive</v>
      </c>
      <c r="E151" s="61" t="str">
        <f>IF(Quantitative_Model!G151=1,"Upward","Downward")</f>
        <v>Upward</v>
      </c>
      <c r="F151" s="61" t="str">
        <f>IF(C151=Quantitative_Model!G151,"Correct","Incorrect")</f>
        <v>Correct</v>
      </c>
    </row>
    <row r="152" spans="1:6" x14ac:dyDescent="0.3">
      <c r="A152" s="62">
        <f>Market_Data_Raw!A152</f>
        <v>45807</v>
      </c>
      <c r="B152" s="63" t="str">
        <f>Market_Data_Raw!G152</f>
        <v>India crude oil imports fall as domestic production rises</v>
      </c>
      <c r="C152" s="64">
        <f>Market_Data_Raw!H152</f>
        <v>1</v>
      </c>
      <c r="D152" s="65" t="str">
        <f t="shared" si="2"/>
        <v>Positive</v>
      </c>
      <c r="E152" s="65" t="str">
        <f>IF(Quantitative_Model!G152=1,"Upward","Downward")</f>
        <v>Upward</v>
      </c>
      <c r="F152" s="65" t="str">
        <f>IF(C152=Quantitative_Model!G152,"Correct","Incorrect")</f>
        <v>Correct</v>
      </c>
    </row>
    <row r="153" spans="1:6" x14ac:dyDescent="0.3">
      <c r="A153" s="58">
        <f>Market_Data_Raw!A153</f>
        <v>45808</v>
      </c>
      <c r="B153" s="59" t="str">
        <f>Market_Data_Raw!G153</f>
        <v>Rupee steady at 84.10; RBI likely managing exchange rate volatility</v>
      </c>
      <c r="C153" s="60">
        <f>Market_Data_Raw!H153</f>
        <v>0</v>
      </c>
      <c r="D153" s="61" t="str">
        <f t="shared" si="2"/>
        <v>Neutral</v>
      </c>
      <c r="E153" s="61" t="str">
        <f>IF(Quantitative_Model!G153=1,"Upward","Downward")</f>
        <v>Upward</v>
      </c>
      <c r="F153" s="61" t="str">
        <f>IF(C153=Quantitative_Model!G153,"Correct","Incorrect")</f>
        <v>Incorrect</v>
      </c>
    </row>
    <row r="154" spans="1:6" x14ac:dyDescent="0.3">
      <c r="A154" s="62">
        <f>Market_Data_Raw!A154</f>
        <v>45809</v>
      </c>
      <c r="B154" s="63" t="str">
        <f>Market_Data_Raw!G154</f>
        <v>FII net activity nearly flat at ₹-120 Cr in today's session</v>
      </c>
      <c r="C154" s="64">
        <f>Market_Data_Raw!H154</f>
        <v>0</v>
      </c>
      <c r="D154" s="65" t="str">
        <f t="shared" si="2"/>
        <v>Neutral</v>
      </c>
      <c r="E154" s="65" t="str">
        <f>IF(Quantitative_Model!G154=1,"Upward","Downward")</f>
        <v>Downward</v>
      </c>
      <c r="F154" s="65" t="str">
        <f>IF(C154=Quantitative_Model!G154,"Correct","Incorrect")</f>
        <v>Incorrect</v>
      </c>
    </row>
    <row r="155" spans="1:6" x14ac:dyDescent="0.3">
      <c r="A155" s="58">
        <f>Market_Data_Raw!A155</f>
        <v>45810</v>
      </c>
      <c r="B155" s="59" t="str">
        <f>Market_Data_Raw!G155</f>
        <v>India gold import at $3.1 Bn in March, broadly in line with estimate</v>
      </c>
      <c r="C155" s="60">
        <f>Market_Data_Raw!H155</f>
        <v>0</v>
      </c>
      <c r="D155" s="61" t="str">
        <f t="shared" si="2"/>
        <v>Neutral</v>
      </c>
      <c r="E155" s="61" t="str">
        <f>IF(Quantitative_Model!G155=1,"Upward","Downward")</f>
        <v>Upward</v>
      </c>
      <c r="F155" s="61" t="str">
        <f>IF(C155=Quantitative_Model!G155,"Correct","Incorrect")</f>
        <v>Incorrect</v>
      </c>
    </row>
    <row r="156" spans="1:6" x14ac:dyDescent="0.3">
      <c r="A156" s="62">
        <f>Market_Data_Raw!A156</f>
        <v>45811</v>
      </c>
      <c r="B156" s="63" t="str">
        <f>Market_Data_Raw!G156</f>
        <v>Tata Motors Q3 JLR revenue growth lifts entire auto sector</v>
      </c>
      <c r="C156" s="64">
        <f>Market_Data_Raw!H156</f>
        <v>1</v>
      </c>
      <c r="D156" s="65" t="str">
        <f t="shared" si="2"/>
        <v>Positive</v>
      </c>
      <c r="E156" s="65" t="str">
        <f>IF(Quantitative_Model!G156=1,"Upward","Downward")</f>
        <v>Upward</v>
      </c>
      <c r="F156" s="65" t="str">
        <f>IF(C156=Quantitative_Model!G156,"Correct","Incorrect")</f>
        <v>Correct</v>
      </c>
    </row>
    <row r="157" spans="1:6" x14ac:dyDescent="0.3">
      <c r="A157" s="58">
        <f>Market_Data_Raw!A157</f>
        <v>45812</v>
      </c>
      <c r="B157" s="59" t="str">
        <f>Market_Data_Raw!G157</f>
        <v>SBI posts record quarterly profit, banking index up 3.5%</v>
      </c>
      <c r="C157" s="60">
        <f>Market_Data_Raw!H157</f>
        <v>1</v>
      </c>
      <c r="D157" s="61" t="str">
        <f t="shared" si="2"/>
        <v>Positive</v>
      </c>
      <c r="E157" s="61" t="str">
        <f>IF(Quantitative_Model!G157=1,"Upward","Downward")</f>
        <v>Downward</v>
      </c>
      <c r="F157" s="61" t="str">
        <f>IF(C157=Quantitative_Model!G157,"Correct","Incorrect")</f>
        <v>Incorrect</v>
      </c>
    </row>
    <row r="158" spans="1:6" x14ac:dyDescent="0.3">
      <c r="A158" s="62">
        <f>Market_Data_Raw!A158</f>
        <v>45813</v>
      </c>
      <c r="B158" s="63" t="str">
        <f>Market_Data_Raw!G158</f>
        <v>Small and midcap stocks hit hard as mutual fund redemptions spike</v>
      </c>
      <c r="C158" s="64">
        <f>Market_Data_Raw!H158</f>
        <v>-1</v>
      </c>
      <c r="D158" s="65" t="str">
        <f t="shared" si="2"/>
        <v>Negative</v>
      </c>
      <c r="E158" s="65" t="str">
        <f>IF(Quantitative_Model!G158=1,"Upward","Downward")</f>
        <v>Upward</v>
      </c>
      <c r="F158" s="65" t="str">
        <f>IF(C158=Quantitative_Model!G158,"Correct","Incorrect")</f>
        <v>Incorrect</v>
      </c>
    </row>
    <row r="159" spans="1:6" x14ac:dyDescent="0.3">
      <c r="A159" s="58">
        <f>Market_Data_Raw!A159</f>
        <v>45814</v>
      </c>
      <c r="B159" s="59" t="str">
        <f>Market_Data_Raw!G159</f>
        <v>Nifty IT gains on strong Q1 deal wins across top-4 IT firms</v>
      </c>
      <c r="C159" s="60">
        <f>Market_Data_Raw!H159</f>
        <v>1</v>
      </c>
      <c r="D159" s="61" t="str">
        <f t="shared" si="2"/>
        <v>Positive</v>
      </c>
      <c r="E159" s="61" t="str">
        <f>IF(Quantitative_Model!G159=1,"Upward","Downward")</f>
        <v>Upward</v>
      </c>
      <c r="F159" s="61" t="str">
        <f>IF(C159=Quantitative_Model!G159,"Correct","Incorrect")</f>
        <v>Correct</v>
      </c>
    </row>
    <row r="160" spans="1:6" x14ac:dyDescent="0.3">
      <c r="A160" s="62">
        <f>Market_Data_Raw!A160</f>
        <v>45815</v>
      </c>
      <c r="B160" s="63" t="str">
        <f>Market_Data_Raw!G160</f>
        <v>India Q2 GDP growth disappoints at 5.8% vs 6.9% expected</v>
      </c>
      <c r="C160" s="64">
        <f>Market_Data_Raw!H160</f>
        <v>-1</v>
      </c>
      <c r="D160" s="65" t="str">
        <f t="shared" si="2"/>
        <v>Negative</v>
      </c>
      <c r="E160" s="65" t="str">
        <f>IF(Quantitative_Model!G160=1,"Upward","Downward")</f>
        <v>Downward</v>
      </c>
      <c r="F160" s="65" t="str">
        <f>IF(C160=Quantitative_Model!G160,"Correct","Incorrect")</f>
        <v>Correct</v>
      </c>
    </row>
    <row r="161" spans="1:6" x14ac:dyDescent="0.3">
      <c r="A161" s="58">
        <f>Market_Data_Raw!A161</f>
        <v>45816</v>
      </c>
      <c r="B161" s="59" t="str">
        <f>Market_Data_Raw!G161</f>
        <v>India telecom ARPU rises to ₹218 on tariff hike cycle</v>
      </c>
      <c r="C161" s="60">
        <f>Market_Data_Raw!H161</f>
        <v>1</v>
      </c>
      <c r="D161" s="61" t="str">
        <f t="shared" si="2"/>
        <v>Positive</v>
      </c>
      <c r="E161" s="61" t="str">
        <f>IF(Quantitative_Model!G161=1,"Upward","Downward")</f>
        <v>Upward</v>
      </c>
      <c r="F161" s="61" t="str">
        <f>IF(C161=Quantitative_Model!G161,"Correct","Incorrect")</f>
        <v>Correct</v>
      </c>
    </row>
    <row r="162" spans="1:6" x14ac:dyDescent="0.3">
      <c r="A162" s="62">
        <f>Market_Data_Raw!A162</f>
        <v>45817</v>
      </c>
      <c r="B162" s="63" t="str">
        <f>Market_Data_Raw!G162</f>
        <v>Oil India stake sale overhang creates sector-wide pressure</v>
      </c>
      <c r="C162" s="64">
        <f>Market_Data_Raw!H162</f>
        <v>-1</v>
      </c>
      <c r="D162" s="65" t="str">
        <f t="shared" si="2"/>
        <v>Negative</v>
      </c>
      <c r="E162" s="65" t="str">
        <f>IF(Quantitative_Model!G162=1,"Upward","Downward")</f>
        <v>Downward</v>
      </c>
      <c r="F162" s="65" t="str">
        <f>IF(C162=Quantitative_Model!G162,"Correct","Incorrect")</f>
        <v>Correct</v>
      </c>
    </row>
    <row r="163" spans="1:6" x14ac:dyDescent="0.3">
      <c r="A163" s="58">
        <f>Market_Data_Raw!A163</f>
        <v>45818</v>
      </c>
      <c r="B163" s="59" t="str">
        <f>Market_Data_Raw!G163</f>
        <v>India logistics sector up 2.8% on PM GatiShakti progress</v>
      </c>
      <c r="C163" s="60">
        <f>Market_Data_Raw!H163</f>
        <v>1</v>
      </c>
      <c r="D163" s="61" t="str">
        <f t="shared" si="2"/>
        <v>Positive</v>
      </c>
      <c r="E163" s="61" t="str">
        <f>IF(Quantitative_Model!G163=1,"Upward","Downward")</f>
        <v>Upward</v>
      </c>
      <c r="F163" s="61" t="str">
        <f>IF(C163=Quantitative_Model!G163,"Correct","Incorrect")</f>
        <v>Correct</v>
      </c>
    </row>
    <row r="164" spans="1:6" x14ac:dyDescent="0.3">
      <c r="A164" s="62">
        <f>Market_Data_Raw!A164</f>
        <v>45819</v>
      </c>
      <c r="B164" s="63" t="str">
        <f>Market_Data_Raw!G164</f>
        <v>Nifty50 falls for 4th straight session, technically oversold</v>
      </c>
      <c r="C164" s="64">
        <f>Market_Data_Raw!H164</f>
        <v>-1</v>
      </c>
      <c r="D164" s="65" t="str">
        <f t="shared" si="2"/>
        <v>Negative</v>
      </c>
      <c r="E164" s="65" t="str">
        <f>IF(Quantitative_Model!G164=1,"Upward","Downward")</f>
        <v>Upward</v>
      </c>
      <c r="F164" s="65" t="str">
        <f>IF(C164=Quantitative_Model!G164,"Correct","Incorrect")</f>
        <v>Incorrect</v>
      </c>
    </row>
    <row r="165" spans="1:6" x14ac:dyDescent="0.3">
      <c r="A165" s="58">
        <f>Market_Data_Raw!A165</f>
        <v>45820</v>
      </c>
      <c r="B165" s="59" t="str">
        <f>Market_Data_Raw!G165</f>
        <v>India IPO pipeline for H2 2025: 55 filings pending with SEBI</v>
      </c>
      <c r="C165" s="60">
        <f>Market_Data_Raw!H165</f>
        <v>1</v>
      </c>
      <c r="D165" s="61" t="str">
        <f t="shared" si="2"/>
        <v>Positive</v>
      </c>
      <c r="E165" s="61" t="str">
        <f>IF(Quantitative_Model!G165=1,"Upward","Downward")</f>
        <v>Downward</v>
      </c>
      <c r="F165" s="61" t="str">
        <f>IF(C165=Quantitative_Model!G165,"Correct","Incorrect")</f>
        <v>Incorrect</v>
      </c>
    </row>
    <row r="166" spans="1:6" x14ac:dyDescent="0.3">
      <c r="A166" s="62">
        <f>Market_Data_Raw!A166</f>
        <v>45821</v>
      </c>
      <c r="B166" s="63" t="str">
        <f>Market_Data_Raw!G166</f>
        <v>Solar energy sector up 5.3% as PLI scheme disbursements start</v>
      </c>
      <c r="C166" s="64">
        <f>Market_Data_Raw!H166</f>
        <v>1</v>
      </c>
      <c r="D166" s="65" t="str">
        <f t="shared" si="2"/>
        <v>Positive</v>
      </c>
      <c r="E166" s="65" t="str">
        <f>IF(Quantitative_Model!G166=1,"Upward","Downward")</f>
        <v>Upward</v>
      </c>
      <c r="F166" s="65" t="str">
        <f>IF(C166=Quantitative_Model!G166,"Correct","Incorrect")</f>
        <v>Correct</v>
      </c>
    </row>
    <row r="167" spans="1:6" x14ac:dyDescent="0.3">
      <c r="A167" s="58">
        <f>Market_Data_Raw!A167</f>
        <v>45822</v>
      </c>
      <c r="B167" s="59" t="str">
        <f>Market_Data_Raw!G167</f>
        <v>India monsoon deficit 15%, agri stocks and FMCG rural play down</v>
      </c>
      <c r="C167" s="60">
        <f>Market_Data_Raw!H167</f>
        <v>-1</v>
      </c>
      <c r="D167" s="61" t="str">
        <f t="shared" si="2"/>
        <v>Negative</v>
      </c>
      <c r="E167" s="61" t="str">
        <f>IF(Quantitative_Model!G167=1,"Upward","Downward")</f>
        <v>Upward</v>
      </c>
      <c r="F167" s="61" t="str">
        <f>IF(C167=Quantitative_Model!G167,"Correct","Incorrect")</f>
        <v>Incorrect</v>
      </c>
    </row>
    <row r="168" spans="1:6" x14ac:dyDescent="0.3">
      <c r="A168" s="62">
        <f>Market_Data_Raw!A168</f>
        <v>45823</v>
      </c>
      <c r="B168" s="63" t="str">
        <f>Market_Data_Raw!G168</f>
        <v>Macquarie upgrades Nifty target to 27,000, market sentiment lifts</v>
      </c>
      <c r="C168" s="64">
        <f>Market_Data_Raw!H168</f>
        <v>1</v>
      </c>
      <c r="D168" s="65" t="str">
        <f t="shared" si="2"/>
        <v>Positive</v>
      </c>
      <c r="E168" s="65" t="str">
        <f>IF(Quantitative_Model!G168=1,"Upward","Downward")</f>
        <v>Upward</v>
      </c>
      <c r="F168" s="65" t="str">
        <f>IF(C168=Quantitative_Model!G168,"Correct","Incorrect")</f>
        <v>Correct</v>
      </c>
    </row>
    <row r="169" spans="1:6" x14ac:dyDescent="0.3">
      <c r="A169" s="58">
        <f>Market_Data_Raw!A169</f>
        <v>45824</v>
      </c>
      <c r="B169" s="59" t="str">
        <f>Market_Data_Raw!G169</f>
        <v>India mutual fund AUM crosses ₹60 lakh Cr milestone</v>
      </c>
      <c r="C169" s="60">
        <f>Market_Data_Raw!H169</f>
        <v>0</v>
      </c>
      <c r="D169" s="61" t="str">
        <f t="shared" si="2"/>
        <v>Neutral</v>
      </c>
      <c r="E169" s="61" t="str">
        <f>IF(Quantitative_Model!G169=1,"Upward","Downward")</f>
        <v>Upward</v>
      </c>
      <c r="F169" s="61" t="str">
        <f>IF(C169=Quantitative_Model!G169,"Correct","Incorrect")</f>
        <v>Incorrect</v>
      </c>
    </row>
    <row r="170" spans="1:6" x14ac:dyDescent="0.3">
      <c r="A170" s="62">
        <f>Market_Data_Raw!A170</f>
        <v>45825</v>
      </c>
      <c r="B170" s="63" t="str">
        <f>Market_Data_Raw!G170</f>
        <v>FII derivative positioning turns net short on Nifty index</v>
      </c>
      <c r="C170" s="64">
        <f>Market_Data_Raw!H170</f>
        <v>-1</v>
      </c>
      <c r="D170" s="65" t="str">
        <f t="shared" si="2"/>
        <v>Negative</v>
      </c>
      <c r="E170" s="65" t="str">
        <f>IF(Quantitative_Model!G170=1,"Upward","Downward")</f>
        <v>Downward</v>
      </c>
      <c r="F170" s="65" t="str">
        <f>IF(C170=Quantitative_Model!G170,"Correct","Incorrect")</f>
        <v>Correct</v>
      </c>
    </row>
    <row r="171" spans="1:6" x14ac:dyDescent="0.3">
      <c r="A171" s="58">
        <f>Market_Data_Raw!A171</f>
        <v>45826</v>
      </c>
      <c r="B171" s="59" t="str">
        <f>Market_Data_Raw!G171</f>
        <v>Nifty Financials down 2.2% as microfinance stress data released</v>
      </c>
      <c r="C171" s="60">
        <f>Market_Data_Raw!H171</f>
        <v>-1</v>
      </c>
      <c r="D171" s="61" t="str">
        <f t="shared" si="2"/>
        <v>Negative</v>
      </c>
      <c r="E171" s="61" t="str">
        <f>IF(Quantitative_Model!G171=1,"Upward","Downward")</f>
        <v>Downward</v>
      </c>
      <c r="F171" s="61" t="str">
        <f>IF(C171=Quantitative_Model!G171,"Correct","Incorrect")</f>
        <v>Correct</v>
      </c>
    </row>
    <row r="172" spans="1:6" x14ac:dyDescent="0.3">
      <c r="A172" s="62">
        <f>Market_Data_Raw!A172</f>
        <v>45827</v>
      </c>
      <c r="B172" s="63" t="str">
        <f>Market_Data_Raw!G172</f>
        <v>India economic survey projects 7.0% growth for FY2026</v>
      </c>
      <c r="C172" s="64">
        <f>Market_Data_Raw!H172</f>
        <v>0</v>
      </c>
      <c r="D172" s="65" t="str">
        <f t="shared" si="2"/>
        <v>Neutral</v>
      </c>
      <c r="E172" s="65" t="str">
        <f>IF(Quantitative_Model!G172=1,"Upward","Downward")</f>
        <v>Downward</v>
      </c>
      <c r="F172" s="65" t="str">
        <f>IF(C172=Quantitative_Model!G172,"Correct","Incorrect")</f>
        <v>Incorrect</v>
      </c>
    </row>
    <row r="173" spans="1:6" x14ac:dyDescent="0.3">
      <c r="A173" s="58">
        <f>Market_Data_Raw!A173</f>
        <v>45828</v>
      </c>
      <c r="B173" s="59" t="str">
        <f>Market_Data_Raw!G173</f>
        <v>Nifty50 adds 420 points on positive global cues and FII buying</v>
      </c>
      <c r="C173" s="60">
        <f>Market_Data_Raw!H173</f>
        <v>1</v>
      </c>
      <c r="D173" s="61" t="str">
        <f t="shared" si="2"/>
        <v>Positive</v>
      </c>
      <c r="E173" s="61" t="str">
        <f>IF(Quantitative_Model!G173=1,"Upward","Downward")</f>
        <v>Downward</v>
      </c>
      <c r="F173" s="61" t="str">
        <f>IF(C173=Quantitative_Model!G173,"Correct","Incorrect")</f>
        <v>Incorrect</v>
      </c>
    </row>
    <row r="174" spans="1:6" x14ac:dyDescent="0.3">
      <c r="A174" s="62">
        <f>Market_Data_Raw!A174</f>
        <v>45829</v>
      </c>
      <c r="B174" s="63" t="str">
        <f>Market_Data_Raw!G174</f>
        <v>Nifty50 breaks key 22,500 support, technical selling accelerates</v>
      </c>
      <c r="C174" s="64">
        <f>Market_Data_Raw!H174</f>
        <v>-1</v>
      </c>
      <c r="D174" s="65" t="str">
        <f t="shared" si="2"/>
        <v>Negative</v>
      </c>
      <c r="E174" s="65" t="str">
        <f>IF(Quantitative_Model!G174=1,"Upward","Downward")</f>
        <v>Downward</v>
      </c>
      <c r="F174" s="65" t="str">
        <f>IF(C174=Quantitative_Model!G174,"Correct","Incorrect")</f>
        <v>Correct</v>
      </c>
    </row>
    <row r="175" spans="1:6" x14ac:dyDescent="0.3">
      <c r="A175" s="58">
        <f>Market_Data_Raw!A175</f>
        <v>45830</v>
      </c>
      <c r="B175" s="59" t="str">
        <f>Market_Data_Raw!G175</f>
        <v>Global oil prices steady near $82 per barrel; no sector divergence</v>
      </c>
      <c r="C175" s="60">
        <f>Market_Data_Raw!H175</f>
        <v>0</v>
      </c>
      <c r="D175" s="61" t="str">
        <f t="shared" si="2"/>
        <v>Neutral</v>
      </c>
      <c r="E175" s="61" t="str">
        <f>IF(Quantitative_Model!G175=1,"Upward","Downward")</f>
        <v>Upward</v>
      </c>
      <c r="F175" s="61" t="str">
        <f>IF(C175=Quantitative_Model!G175,"Correct","Incorrect")</f>
        <v>Incorrect</v>
      </c>
    </row>
    <row r="176" spans="1:6" x14ac:dyDescent="0.3">
      <c r="A176" s="62">
        <f>Market_Data_Raw!A176</f>
        <v>45831</v>
      </c>
      <c r="B176" s="63" t="str">
        <f>Market_Data_Raw!G176</f>
        <v>RBI MPC meeting outcome awaited; markets trade flat in range</v>
      </c>
      <c r="C176" s="64">
        <f>Market_Data_Raw!H176</f>
        <v>0</v>
      </c>
      <c r="D176" s="65" t="str">
        <f t="shared" si="2"/>
        <v>Neutral</v>
      </c>
      <c r="E176" s="65" t="str">
        <f>IF(Quantitative_Model!G176=1,"Upward","Downward")</f>
        <v>Upward</v>
      </c>
      <c r="F176" s="65" t="str">
        <f>IF(C176=Quantitative_Model!G176,"Correct","Incorrect")</f>
        <v>Incorrect</v>
      </c>
    </row>
    <row r="177" spans="1:6" x14ac:dyDescent="0.3">
      <c r="A177" s="58">
        <f>Market_Data_Raw!A177</f>
        <v>45832</v>
      </c>
      <c r="B177" s="59" t="str">
        <f>Market_Data_Raw!G177</f>
        <v>India market cap crosses $4.5 trillion for first time</v>
      </c>
      <c r="C177" s="60">
        <f>Market_Data_Raw!H177</f>
        <v>1</v>
      </c>
      <c r="D177" s="61" t="str">
        <f t="shared" si="2"/>
        <v>Positive</v>
      </c>
      <c r="E177" s="61" t="str">
        <f>IF(Quantitative_Model!G177=1,"Upward","Downward")</f>
        <v>Upward</v>
      </c>
      <c r="F177" s="61" t="str">
        <f>IF(C177=Quantitative_Model!G177,"Correct","Incorrect")</f>
        <v>Correct</v>
      </c>
    </row>
    <row r="178" spans="1:6" x14ac:dyDescent="0.3">
      <c r="A178" s="62">
        <f>Market_Data_Raw!A178</f>
        <v>45833</v>
      </c>
      <c r="B178" s="63" t="str">
        <f>Market_Data_Raw!G178</f>
        <v>Rupee slips to 87.40 against USD, RBI intervenes to stem fall</v>
      </c>
      <c r="C178" s="64">
        <f>Market_Data_Raw!H178</f>
        <v>-1</v>
      </c>
      <c r="D178" s="65" t="str">
        <f t="shared" si="2"/>
        <v>Negative</v>
      </c>
      <c r="E178" s="65" t="str">
        <f>IF(Quantitative_Model!G178=1,"Upward","Downward")</f>
        <v>Upward</v>
      </c>
      <c r="F178" s="65" t="str">
        <f>IF(C178=Quantitative_Model!G178,"Correct","Incorrect")</f>
        <v>Incorrect</v>
      </c>
    </row>
    <row r="179" spans="1:6" x14ac:dyDescent="0.3">
      <c r="A179" s="58">
        <f>Market_Data_Raw!A179</f>
        <v>45834</v>
      </c>
      <c r="B179" s="59" t="str">
        <f>Market_Data_Raw!G179</f>
        <v>India IPO market strongest in 5 years with 42 listings in Q1</v>
      </c>
      <c r="C179" s="60">
        <f>Market_Data_Raw!H179</f>
        <v>1</v>
      </c>
      <c r="D179" s="61" t="str">
        <f t="shared" si="2"/>
        <v>Positive</v>
      </c>
      <c r="E179" s="61" t="str">
        <f>IF(Quantitative_Model!G179=1,"Upward","Downward")</f>
        <v>Upward</v>
      </c>
      <c r="F179" s="61" t="str">
        <f>IF(C179=Quantitative_Model!G179,"Correct","Incorrect")</f>
        <v>Correct</v>
      </c>
    </row>
    <row r="180" spans="1:6" x14ac:dyDescent="0.3">
      <c r="A180" s="62">
        <f>Market_Data_Raw!A180</f>
        <v>45835</v>
      </c>
      <c r="B180" s="63" t="str">
        <f>Market_Data_Raw!G180</f>
        <v>India consumer confidence index unchanged at 98.4 in latest survey</v>
      </c>
      <c r="C180" s="64">
        <f>Market_Data_Raw!H180</f>
        <v>0</v>
      </c>
      <c r="D180" s="65" t="str">
        <f t="shared" si="2"/>
        <v>Neutral</v>
      </c>
      <c r="E180" s="65" t="str">
        <f>IF(Quantitative_Model!G180=1,"Upward","Downward")</f>
        <v>Downward</v>
      </c>
      <c r="F180" s="65" t="str">
        <f>IF(C180=Quantitative_Model!G180,"Correct","Incorrect")</f>
        <v>Incorrect</v>
      </c>
    </row>
    <row r="181" spans="1:6" x14ac:dyDescent="0.3">
      <c r="A181" s="58">
        <f>Market_Data_Raw!A181</f>
        <v>45836</v>
      </c>
      <c r="B181" s="59" t="str">
        <f>Market_Data_Raw!G181</f>
        <v>Markets tumble 1.9% on geopolitical tensions in Middle East</v>
      </c>
      <c r="C181" s="60">
        <f>Market_Data_Raw!H181</f>
        <v>-1</v>
      </c>
      <c r="D181" s="61" t="str">
        <f t="shared" si="2"/>
        <v>Negative</v>
      </c>
      <c r="E181" s="61" t="str">
        <f>IF(Quantitative_Model!G181=1,"Upward","Downward")</f>
        <v>Upward</v>
      </c>
      <c r="F181" s="61" t="str">
        <f>IF(C181=Quantitative_Model!G181,"Correct","Incorrect")</f>
        <v>Incorrect</v>
      </c>
    </row>
    <row r="182" spans="1:6" x14ac:dyDescent="0.3">
      <c r="A182" s="62">
        <f>Market_Data_Raw!A182</f>
        <v>45837</v>
      </c>
      <c r="B182" s="63" t="str">
        <f>Market_Data_Raw!G182</f>
        <v>Nifty50 technically breaks out of 3-month consolidation range</v>
      </c>
      <c r="C182" s="64">
        <f>Market_Data_Raw!H182</f>
        <v>1</v>
      </c>
      <c r="D182" s="65" t="str">
        <f t="shared" si="2"/>
        <v>Positive</v>
      </c>
      <c r="E182" s="65" t="str">
        <f>IF(Quantitative_Model!G182=1,"Upward","Downward")</f>
        <v>Upward</v>
      </c>
      <c r="F182" s="65" t="str">
        <f>IF(C182=Quantitative_Model!G182,"Correct","Incorrect")</f>
        <v>Correct</v>
      </c>
    </row>
    <row r="183" spans="1:6" x14ac:dyDescent="0.3">
      <c r="A183" s="58">
        <f>Market_Data_Raw!A183</f>
        <v>45838</v>
      </c>
      <c r="B183" s="59" t="str">
        <f>Market_Data_Raw!G183</f>
        <v>NSE market turnover at ₹1.2 lakh Cr, volumes slightly below average</v>
      </c>
      <c r="C183" s="60">
        <f>Market_Data_Raw!H183</f>
        <v>0</v>
      </c>
      <c r="D183" s="61" t="str">
        <f t="shared" si="2"/>
        <v>Neutral</v>
      </c>
      <c r="E183" s="61" t="str">
        <f>IF(Quantitative_Model!G183=1,"Upward","Downward")</f>
        <v>Downward</v>
      </c>
      <c r="F183" s="61" t="str">
        <f>IF(C183=Quantitative_Model!G183,"Correct","Incorrect")</f>
        <v>Incorrect</v>
      </c>
    </row>
    <row r="184" spans="1:6" x14ac:dyDescent="0.3">
      <c r="A184" s="62">
        <f>Market_Data_Raw!A184</f>
        <v>45839</v>
      </c>
      <c r="B184" s="63" t="str">
        <f>Market_Data_Raw!G184</f>
        <v>Markets mixed: IT gains offset by PSU bank weakness in index</v>
      </c>
      <c r="C184" s="64">
        <f>Market_Data_Raw!H184</f>
        <v>0</v>
      </c>
      <c r="D184" s="65" t="str">
        <f t="shared" si="2"/>
        <v>Neutral</v>
      </c>
      <c r="E184" s="65" t="str">
        <f>IF(Quantitative_Model!G184=1,"Upward","Downward")</f>
        <v>Downward</v>
      </c>
      <c r="F184" s="65" t="str">
        <f>IF(C184=Quantitative_Model!G184,"Correct","Incorrect")</f>
        <v>Incorrect</v>
      </c>
    </row>
    <row r="185" spans="1:6" x14ac:dyDescent="0.3">
      <c r="A185" s="58">
        <f>Market_Data_Raw!A185</f>
        <v>45840</v>
      </c>
      <c r="B185" s="59" t="str">
        <f>Market_Data_Raw!G185</f>
        <v>NSE F&amp;O volumes recover after SEBI margin tweaks stabilise</v>
      </c>
      <c r="C185" s="60">
        <f>Market_Data_Raw!H185</f>
        <v>0</v>
      </c>
      <c r="D185" s="61" t="str">
        <f t="shared" si="2"/>
        <v>Neutral</v>
      </c>
      <c r="E185" s="61" t="str">
        <f>IF(Quantitative_Model!G185=1,"Upward","Downward")</f>
        <v>Upward</v>
      </c>
      <c r="F185" s="61" t="str">
        <f>IF(C185=Quantitative_Model!G185,"Correct","Incorrect")</f>
        <v>Incorrect</v>
      </c>
    </row>
    <row r="186" spans="1:6" x14ac:dyDescent="0.3">
      <c r="A186" s="62">
        <f>Market_Data_Raw!A186</f>
        <v>45841</v>
      </c>
      <c r="B186" s="63" t="str">
        <f>Market_Data_Raw!G186</f>
        <v>Nifty Consumption index at all-time high on urban spend data</v>
      </c>
      <c r="C186" s="64">
        <f>Market_Data_Raw!H186</f>
        <v>-1</v>
      </c>
      <c r="D186" s="65" t="str">
        <f t="shared" si="2"/>
        <v>Negative</v>
      </c>
      <c r="E186" s="65" t="str">
        <f>IF(Quantitative_Model!G186=1,"Upward","Downward")</f>
        <v>Downward</v>
      </c>
      <c r="F186" s="65" t="str">
        <f>IF(C186=Quantitative_Model!G186,"Correct","Incorrect")</f>
        <v>Correct</v>
      </c>
    </row>
    <row r="187" spans="1:6" x14ac:dyDescent="0.3">
      <c r="A187" s="58">
        <f>Market_Data_Raw!A187</f>
        <v>45842</v>
      </c>
      <c r="B187" s="59" t="str">
        <f>Market_Data_Raw!G187</f>
        <v>Nifty50 bulk deals show large domestic institution accumulation</v>
      </c>
      <c r="C187" s="60">
        <f>Market_Data_Raw!H187</f>
        <v>1</v>
      </c>
      <c r="D187" s="61" t="str">
        <f t="shared" si="2"/>
        <v>Positive</v>
      </c>
      <c r="E187" s="61" t="str">
        <f>IF(Quantitative_Model!G187=1,"Upward","Downward")</f>
        <v>Upward</v>
      </c>
      <c r="F187" s="61" t="str">
        <f>IF(C187=Quantitative_Model!G187,"Correct","Incorrect")</f>
        <v>Correct</v>
      </c>
    </row>
    <row r="188" spans="1:6" x14ac:dyDescent="0.3">
      <c r="A188" s="62">
        <f>Market_Data_Raw!A188</f>
        <v>45843</v>
      </c>
      <c r="B188" s="63" t="str">
        <f>Market_Data_Raw!G188</f>
        <v>RBI holds repo rate at 6.25%, signals accommodative stance ahead</v>
      </c>
      <c r="C188" s="64">
        <f>Market_Data_Raw!H188</f>
        <v>1</v>
      </c>
      <c r="D188" s="65" t="str">
        <f t="shared" si="2"/>
        <v>Positive</v>
      </c>
      <c r="E188" s="65" t="str">
        <f>IF(Quantitative_Model!G188=1,"Upward","Downward")</f>
        <v>Upward</v>
      </c>
      <c r="F188" s="65" t="str">
        <f>IF(C188=Quantitative_Model!G188,"Correct","Incorrect")</f>
        <v>Correct</v>
      </c>
    </row>
    <row r="189" spans="1:6" x14ac:dyDescent="0.3">
      <c r="A189" s="58">
        <f>Market_Data_Raw!A189</f>
        <v>45844</v>
      </c>
      <c r="B189" s="59" t="str">
        <f>Market_Data_Raw!G189</f>
        <v>India healthcare spending to hit ₹6.2 lakh Cr in FY2026</v>
      </c>
      <c r="C189" s="60">
        <f>Market_Data_Raw!H189</f>
        <v>0</v>
      </c>
      <c r="D189" s="61" t="str">
        <f t="shared" si="2"/>
        <v>Neutral</v>
      </c>
      <c r="E189" s="61" t="str">
        <f>IF(Quantitative_Model!G189=1,"Upward","Downward")</f>
        <v>Downward</v>
      </c>
      <c r="F189" s="61" t="str">
        <f>IF(C189=Quantitative_Model!G189,"Correct","Incorrect")</f>
        <v>Incorrect</v>
      </c>
    </row>
    <row r="190" spans="1:6" x14ac:dyDescent="0.3">
      <c r="A190" s="62">
        <f>Market_Data_Raw!A190</f>
        <v>45845</v>
      </c>
      <c r="B190" s="63" t="str">
        <f>Market_Data_Raw!G190</f>
        <v>India gold ETF inflows at ₹1,800 Cr, second best monthly total</v>
      </c>
      <c r="C190" s="64">
        <f>Market_Data_Raw!H190</f>
        <v>0</v>
      </c>
      <c r="D190" s="65" t="str">
        <f t="shared" si="2"/>
        <v>Neutral</v>
      </c>
      <c r="E190" s="65" t="str">
        <f>IF(Quantitative_Model!G190=1,"Upward","Downward")</f>
        <v>Downward</v>
      </c>
      <c r="F190" s="65" t="str">
        <f>IF(C190=Quantitative_Model!G190,"Correct","Incorrect")</f>
        <v>Incorrect</v>
      </c>
    </row>
    <row r="191" spans="1:6" x14ac:dyDescent="0.3">
      <c r="A191" s="58">
        <f>Market_Data_Raw!A191</f>
        <v>45846</v>
      </c>
      <c r="B191" s="59" t="str">
        <f>Market_Data_Raw!G191</f>
        <v>Adani Group stocks under pressure on renewed concerns</v>
      </c>
      <c r="C191" s="60">
        <f>Market_Data_Raw!H191</f>
        <v>-1</v>
      </c>
      <c r="D191" s="61" t="str">
        <f t="shared" si="2"/>
        <v>Negative</v>
      </c>
      <c r="E191" s="61" t="str">
        <f>IF(Quantitative_Model!G191=1,"Upward","Downward")</f>
        <v>Downward</v>
      </c>
      <c r="F191" s="61" t="str">
        <f>IF(C191=Quantitative_Model!G191,"Correct","Incorrect")</f>
        <v>Correct</v>
      </c>
    </row>
    <row r="192" spans="1:6" x14ac:dyDescent="0.3">
      <c r="A192" s="62">
        <f>Market_Data_Raw!A192</f>
        <v>45847</v>
      </c>
      <c r="B192" s="63" t="str">
        <f>Market_Data_Raw!G192</f>
        <v>Nifty Bank crashes 2.8% on credit quality concerns in MFI segment</v>
      </c>
      <c r="C192" s="64">
        <f>Market_Data_Raw!H192</f>
        <v>-1</v>
      </c>
      <c r="D192" s="65" t="str">
        <f t="shared" si="2"/>
        <v>Negative</v>
      </c>
      <c r="E192" s="65" t="str">
        <f>IF(Quantitative_Model!G192=1,"Upward","Downward")</f>
        <v>Downward</v>
      </c>
      <c r="F192" s="65" t="str">
        <f>IF(C192=Quantitative_Model!G192,"Correct","Incorrect")</f>
        <v>Correct</v>
      </c>
    </row>
    <row r="193" spans="1:6" x14ac:dyDescent="0.3">
      <c r="A193" s="58">
        <f>Market_Data_Raw!A193</f>
        <v>45848</v>
      </c>
      <c r="B193" s="59" t="str">
        <f>Market_Data_Raw!G193</f>
        <v>Budget 2025 capex allocation jumps 22%, infra stocks surge</v>
      </c>
      <c r="C193" s="60">
        <f>Market_Data_Raw!H193</f>
        <v>1</v>
      </c>
      <c r="D193" s="61" t="str">
        <f t="shared" si="2"/>
        <v>Positive</v>
      </c>
      <c r="E193" s="61" t="str">
        <f>IF(Quantitative_Model!G193=1,"Upward","Downward")</f>
        <v>Upward</v>
      </c>
      <c r="F193" s="61" t="str">
        <f>IF(C193=Quantitative_Model!G193,"Correct","Incorrect")</f>
        <v>Correct</v>
      </c>
    </row>
    <row r="194" spans="1:6" x14ac:dyDescent="0.3">
      <c r="A194" s="62">
        <f>Market_Data_Raw!A194</f>
        <v>45849</v>
      </c>
      <c r="B194" s="63" t="str">
        <f>Market_Data_Raw!G194</f>
        <v>India capex spending on track; market sentiment remains stable</v>
      </c>
      <c r="C194" s="64">
        <f>Market_Data_Raw!H194</f>
        <v>0</v>
      </c>
      <c r="D194" s="65" t="str">
        <f t="shared" si="2"/>
        <v>Neutral</v>
      </c>
      <c r="E194" s="65" t="str">
        <f>IF(Quantitative_Model!G194=1,"Upward","Downward")</f>
        <v>Upward</v>
      </c>
      <c r="F194" s="65" t="str">
        <f>IF(C194=Quantitative_Model!G194,"Correct","Incorrect")</f>
        <v>Incorrect</v>
      </c>
    </row>
    <row r="195" spans="1:6" x14ac:dyDescent="0.3">
      <c r="A195" s="58">
        <f>Market_Data_Raw!A195</f>
        <v>45850</v>
      </c>
      <c r="B195" s="59" t="str">
        <f>Market_Data_Raw!G195</f>
        <v>Nifty50 consolidates near 24,500 ahead of key CPI data release</v>
      </c>
      <c r="C195" s="60">
        <f>Market_Data_Raw!H195</f>
        <v>0</v>
      </c>
      <c r="D195" s="61" t="str">
        <f t="shared" ref="D195:D258" si="3">IF(C195=1,"Positive",IF(C195=-1,"Negative","Neutral"))</f>
        <v>Neutral</v>
      </c>
      <c r="E195" s="61" t="str">
        <f>IF(Quantitative_Model!G195=1,"Upward","Downward")</f>
        <v>Downward</v>
      </c>
      <c r="F195" s="61" t="str">
        <f>IF(C195=Quantitative_Model!G195,"Correct","Incorrect")</f>
        <v>Incorrect</v>
      </c>
    </row>
    <row r="196" spans="1:6" x14ac:dyDescent="0.3">
      <c r="A196" s="62">
        <f>Market_Data_Raw!A196</f>
        <v>45851</v>
      </c>
      <c r="B196" s="63" t="str">
        <f>Market_Data_Raw!G196</f>
        <v>India direct tax collection exceeds FY2025 target by ₹40,000 Cr</v>
      </c>
      <c r="C196" s="64">
        <f>Market_Data_Raw!H196</f>
        <v>1</v>
      </c>
      <c r="D196" s="65" t="str">
        <f t="shared" si="3"/>
        <v>Positive</v>
      </c>
      <c r="E196" s="65" t="str">
        <f>IF(Quantitative_Model!G196=1,"Upward","Downward")</f>
        <v>Upward</v>
      </c>
      <c r="F196" s="65" t="str">
        <f>IF(C196=Quantitative_Model!G196,"Correct","Incorrect")</f>
        <v>Correct</v>
      </c>
    </row>
    <row r="197" spans="1:6" x14ac:dyDescent="0.3">
      <c r="A197" s="58">
        <f>Market_Data_Raw!A197</f>
        <v>45852</v>
      </c>
      <c r="B197" s="59" t="str">
        <f>Market_Data_Raw!G197</f>
        <v>Nifty Energy down 2.7% as gas pricing policy concerns surface</v>
      </c>
      <c r="C197" s="60">
        <f>Market_Data_Raw!H197</f>
        <v>-1</v>
      </c>
      <c r="D197" s="61" t="str">
        <f t="shared" si="3"/>
        <v>Negative</v>
      </c>
      <c r="E197" s="61" t="str">
        <f>IF(Quantitative_Model!G197=1,"Upward","Downward")</f>
        <v>Upward</v>
      </c>
      <c r="F197" s="61" t="str">
        <f>IF(C197=Quantitative_Model!G197,"Correct","Incorrect")</f>
        <v>Incorrect</v>
      </c>
    </row>
    <row r="198" spans="1:6" x14ac:dyDescent="0.3">
      <c r="A198" s="62">
        <f>Market_Data_Raw!A198</f>
        <v>45853</v>
      </c>
      <c r="B198" s="63" t="str">
        <f>Market_Data_Raw!G198</f>
        <v>SEBI margin rules tightened; derivative volumes crash 22%</v>
      </c>
      <c r="C198" s="64">
        <f>Market_Data_Raw!H198</f>
        <v>-1</v>
      </c>
      <c r="D198" s="65" t="str">
        <f t="shared" si="3"/>
        <v>Negative</v>
      </c>
      <c r="E198" s="65" t="str">
        <f>IF(Quantitative_Model!G198=1,"Upward","Downward")</f>
        <v>Downward</v>
      </c>
      <c r="F198" s="65" t="str">
        <f>IF(C198=Quantitative_Model!G198,"Correct","Incorrect")</f>
        <v>Correct</v>
      </c>
    </row>
    <row r="199" spans="1:6" x14ac:dyDescent="0.3">
      <c r="A199" s="58">
        <f>Market_Data_Raw!A199</f>
        <v>45854</v>
      </c>
      <c r="B199" s="59" t="str">
        <f>Market_Data_Raw!G199</f>
        <v>India inflation eases to 4.1%, RBI policy outlook turns positive</v>
      </c>
      <c r="C199" s="60">
        <f>Market_Data_Raw!H199</f>
        <v>1</v>
      </c>
      <c r="D199" s="61" t="str">
        <f t="shared" si="3"/>
        <v>Positive</v>
      </c>
      <c r="E199" s="61" t="str">
        <f>IF(Quantitative_Model!G199=1,"Upward","Downward")</f>
        <v>Upward</v>
      </c>
      <c r="F199" s="61" t="str">
        <f>IF(C199=Quantitative_Model!G199,"Correct","Incorrect")</f>
        <v>Correct</v>
      </c>
    </row>
    <row r="200" spans="1:6" x14ac:dyDescent="0.3">
      <c r="A200" s="62">
        <f>Market_Data_Raw!A200</f>
        <v>45855</v>
      </c>
      <c r="B200" s="63" t="str">
        <f>Market_Data_Raw!G200</f>
        <v>India exports decline 8.3% YoY in February, trade outlook grim</v>
      </c>
      <c r="C200" s="64">
        <f>Market_Data_Raw!H200</f>
        <v>-1</v>
      </c>
      <c r="D200" s="65" t="str">
        <f t="shared" si="3"/>
        <v>Negative</v>
      </c>
      <c r="E200" s="65" t="str">
        <f>IF(Quantitative_Model!G200=1,"Upward","Downward")</f>
        <v>Upward</v>
      </c>
      <c r="F200" s="65" t="str">
        <f>IF(C200=Quantitative_Model!G200,"Correct","Incorrect")</f>
        <v>Incorrect</v>
      </c>
    </row>
    <row r="201" spans="1:6" x14ac:dyDescent="0.3">
      <c r="A201" s="58">
        <f>Market_Data_Raw!A201</f>
        <v>45856</v>
      </c>
      <c r="B201" s="59" t="str">
        <f>Market_Data_Raw!G201</f>
        <v>IT sector slumps 3.4% on weak US tech earnings guidance</v>
      </c>
      <c r="C201" s="60">
        <f>Market_Data_Raw!H201</f>
        <v>-1</v>
      </c>
      <c r="D201" s="61" t="str">
        <f t="shared" si="3"/>
        <v>Negative</v>
      </c>
      <c r="E201" s="61" t="str">
        <f>IF(Quantitative_Model!G201=1,"Upward","Downward")</f>
        <v>Downward</v>
      </c>
      <c r="F201" s="61" t="str">
        <f>IF(C201=Quantitative_Model!G201,"Correct","Incorrect")</f>
        <v>Correct</v>
      </c>
    </row>
    <row r="202" spans="1:6" x14ac:dyDescent="0.3">
      <c r="A202" s="62">
        <f>Market_Data_Raw!A202</f>
        <v>45857</v>
      </c>
      <c r="B202" s="63" t="str">
        <f>Market_Data_Raw!G202</f>
        <v>Nifty50 options volatility spikes ahead of Union Budget presentation</v>
      </c>
      <c r="C202" s="64">
        <f>Market_Data_Raw!H202</f>
        <v>1</v>
      </c>
      <c r="D202" s="65" t="str">
        <f t="shared" si="3"/>
        <v>Positive</v>
      </c>
      <c r="E202" s="65" t="str">
        <f>IF(Quantitative_Model!G202=1,"Upward","Downward")</f>
        <v>Upward</v>
      </c>
      <c r="F202" s="65" t="str">
        <f>IF(C202=Quantitative_Model!G202,"Correct","Incorrect")</f>
        <v>Correct</v>
      </c>
    </row>
    <row r="203" spans="1:6" x14ac:dyDescent="0.3">
      <c r="A203" s="58">
        <f>Market_Data_Raw!A203</f>
        <v>45858</v>
      </c>
      <c r="B203" s="59" t="str">
        <f>Market_Data_Raw!G203</f>
        <v>Nifty50 rallies 1.8% as FIIs pump ₹4,200 Cr into equities</v>
      </c>
      <c r="C203" s="60">
        <f>Market_Data_Raw!H203</f>
        <v>1</v>
      </c>
      <c r="D203" s="61" t="str">
        <f t="shared" si="3"/>
        <v>Positive</v>
      </c>
      <c r="E203" s="61" t="str">
        <f>IF(Quantitative_Model!G203=1,"Upward","Downward")</f>
        <v>Upward</v>
      </c>
      <c r="F203" s="61" t="str">
        <f>IF(C203=Quantitative_Model!G203,"Correct","Incorrect")</f>
        <v>Correct</v>
      </c>
    </row>
    <row r="204" spans="1:6" x14ac:dyDescent="0.3">
      <c r="A204" s="62">
        <f>Market_Data_Raw!A204</f>
        <v>45859</v>
      </c>
      <c r="B204" s="63" t="str">
        <f>Market_Data_Raw!G204</f>
        <v>MSCI weight for India equities raised to 19.3% from 18.5%</v>
      </c>
      <c r="C204" s="64">
        <f>Market_Data_Raw!H204</f>
        <v>1</v>
      </c>
      <c r="D204" s="65" t="str">
        <f t="shared" si="3"/>
        <v>Positive</v>
      </c>
      <c r="E204" s="65" t="str">
        <f>IF(Quantitative_Model!G204=1,"Upward","Downward")</f>
        <v>Upward</v>
      </c>
      <c r="F204" s="65" t="str">
        <f>IF(C204=Quantitative_Model!G204,"Correct","Incorrect")</f>
        <v>Correct</v>
      </c>
    </row>
    <row r="205" spans="1:6" x14ac:dyDescent="0.3">
      <c r="A205" s="58">
        <f>Market_Data_Raw!A205</f>
        <v>45860</v>
      </c>
      <c r="B205" s="59" t="str">
        <f>Market_Data_Raw!G205</f>
        <v>Vedanta misses Q3 estimates; mining sector in broad selloff</v>
      </c>
      <c r="C205" s="60">
        <f>Market_Data_Raw!H205</f>
        <v>-1</v>
      </c>
      <c r="D205" s="61" t="str">
        <f t="shared" si="3"/>
        <v>Negative</v>
      </c>
      <c r="E205" s="61" t="str">
        <f>IF(Quantitative_Model!G205=1,"Upward","Downward")</f>
        <v>Upward</v>
      </c>
      <c r="F205" s="61" t="str">
        <f>IF(C205=Quantitative_Model!G205,"Correct","Incorrect")</f>
        <v>Incorrect</v>
      </c>
    </row>
    <row r="206" spans="1:6" x14ac:dyDescent="0.3">
      <c r="A206" s="62">
        <f>Market_Data_Raw!A206</f>
        <v>45861</v>
      </c>
      <c r="B206" s="63" t="str">
        <f>Market_Data_Raw!G206</f>
        <v>Nifty Private Bank index at record; credit cycle remains strong</v>
      </c>
      <c r="C206" s="64">
        <f>Market_Data_Raw!H206</f>
        <v>-1</v>
      </c>
      <c r="D206" s="65" t="str">
        <f t="shared" si="3"/>
        <v>Negative</v>
      </c>
      <c r="E206" s="65" t="str">
        <f>IF(Quantitative_Model!G206=1,"Upward","Downward")</f>
        <v>Downward</v>
      </c>
      <c r="F206" s="65" t="str">
        <f>IF(C206=Quantitative_Model!G206,"Correct","Incorrect")</f>
        <v>Correct</v>
      </c>
    </row>
    <row r="207" spans="1:6" x14ac:dyDescent="0.3">
      <c r="A207" s="58">
        <f>Market_Data_Raw!A207</f>
        <v>45862</v>
      </c>
      <c r="B207" s="59" t="str">
        <f>Market_Data_Raw!G207</f>
        <v>India-UAE trade deal finalized, Nifty Metal index surges 3.2%</v>
      </c>
      <c r="C207" s="60">
        <f>Market_Data_Raw!H207</f>
        <v>1</v>
      </c>
      <c r="D207" s="61" t="str">
        <f t="shared" si="3"/>
        <v>Positive</v>
      </c>
      <c r="E207" s="61" t="str">
        <f>IF(Quantitative_Model!G207=1,"Upward","Downward")</f>
        <v>Downward</v>
      </c>
      <c r="F207" s="61" t="str">
        <f>IF(C207=Quantitative_Model!G207,"Correct","Incorrect")</f>
        <v>Incorrect</v>
      </c>
    </row>
    <row r="208" spans="1:6" x14ac:dyDescent="0.3">
      <c r="A208" s="62">
        <f>Market_Data_Raw!A208</f>
        <v>45863</v>
      </c>
      <c r="B208" s="63" t="str">
        <f>Market_Data_Raw!G208</f>
        <v>India steel demand projected to grow 9% in FY2026: government</v>
      </c>
      <c r="C208" s="64">
        <f>Market_Data_Raw!H208</f>
        <v>0</v>
      </c>
      <c r="D208" s="65" t="str">
        <f t="shared" si="3"/>
        <v>Neutral</v>
      </c>
      <c r="E208" s="65" t="str">
        <f>IF(Quantitative_Model!G208=1,"Upward","Downward")</f>
        <v>Upward</v>
      </c>
      <c r="F208" s="65" t="str">
        <f>IF(C208=Quantitative_Model!G208,"Correct","Incorrect")</f>
        <v>Incorrect</v>
      </c>
    </row>
    <row r="209" spans="1:6" x14ac:dyDescent="0.3">
      <c r="A209" s="58">
        <f>Market_Data_Raw!A209</f>
        <v>45864</v>
      </c>
      <c r="B209" s="59" t="str">
        <f>Market_Data_Raw!G209</f>
        <v>Defence sector stocks rise sharply on government order pipeline</v>
      </c>
      <c r="C209" s="60">
        <f>Market_Data_Raw!H209</f>
        <v>1</v>
      </c>
      <c r="D209" s="61" t="str">
        <f t="shared" si="3"/>
        <v>Positive</v>
      </c>
      <c r="E209" s="61" t="str">
        <f>IF(Quantitative_Model!G209=1,"Upward","Downward")</f>
        <v>Upward</v>
      </c>
      <c r="F209" s="61" t="str">
        <f>IF(C209=Quantitative_Model!G209,"Correct","Incorrect")</f>
        <v>Correct</v>
      </c>
    </row>
    <row r="210" spans="1:6" x14ac:dyDescent="0.3">
      <c r="A210" s="62">
        <f>Market_Data_Raw!A210</f>
        <v>45865</v>
      </c>
      <c r="B210" s="63" t="str">
        <f>Market_Data_Raw!G210</f>
        <v>Midcap and smallcap indices trade in line with Nifty; no divergence</v>
      </c>
      <c r="C210" s="64">
        <f>Market_Data_Raw!H210</f>
        <v>0</v>
      </c>
      <c r="D210" s="65" t="str">
        <f t="shared" si="3"/>
        <v>Neutral</v>
      </c>
      <c r="E210" s="65" t="str">
        <f>IF(Quantitative_Model!G210=1,"Upward","Downward")</f>
        <v>Upward</v>
      </c>
      <c r="F210" s="65" t="str">
        <f>IF(C210=Quantitative_Model!G210,"Correct","Incorrect")</f>
        <v>Incorrect</v>
      </c>
    </row>
    <row r="211" spans="1:6" x14ac:dyDescent="0.3">
      <c r="A211" s="58">
        <f>Market_Data_Raw!A211</f>
        <v>45866</v>
      </c>
      <c r="B211" s="59" t="str">
        <f>Market_Data_Raw!G211</f>
        <v>India current account deficit narrows to 0.9% of GDP</v>
      </c>
      <c r="C211" s="60">
        <f>Market_Data_Raw!H211</f>
        <v>1</v>
      </c>
      <c r="D211" s="61" t="str">
        <f t="shared" si="3"/>
        <v>Positive</v>
      </c>
      <c r="E211" s="61" t="str">
        <f>IF(Quantitative_Model!G211=1,"Upward","Downward")</f>
        <v>Upward</v>
      </c>
      <c r="F211" s="61" t="str">
        <f>IF(C211=Quantitative_Model!G211,"Correct","Incorrect")</f>
        <v>Correct</v>
      </c>
    </row>
    <row r="212" spans="1:6" x14ac:dyDescent="0.3">
      <c r="A212" s="62">
        <f>Market_Data_Raw!A212</f>
        <v>45867</v>
      </c>
      <c r="B212" s="63" t="str">
        <f>Market_Data_Raw!G212</f>
        <v>India power sector reforms attract $8.4 Bn foreign investment</v>
      </c>
      <c r="C212" s="64">
        <f>Market_Data_Raw!H212</f>
        <v>1</v>
      </c>
      <c r="D212" s="65" t="str">
        <f t="shared" si="3"/>
        <v>Positive</v>
      </c>
      <c r="E212" s="65" t="str">
        <f>IF(Quantitative_Model!G212=1,"Upward","Downward")</f>
        <v>Upward</v>
      </c>
      <c r="F212" s="65" t="str">
        <f>IF(C212=Quantitative_Model!G212,"Correct","Incorrect")</f>
        <v>Correct</v>
      </c>
    </row>
    <row r="213" spans="1:6" x14ac:dyDescent="0.3">
      <c r="A213" s="58">
        <f>Market_Data_Raw!A213</f>
        <v>45868</v>
      </c>
      <c r="B213" s="59" t="str">
        <f>Market_Data_Raw!G213</f>
        <v>Domestic institutional selling of ₹4,100 Cr drags market down</v>
      </c>
      <c r="C213" s="60">
        <f>Market_Data_Raw!H213</f>
        <v>-1</v>
      </c>
      <c r="D213" s="61" t="str">
        <f t="shared" si="3"/>
        <v>Negative</v>
      </c>
      <c r="E213" s="61" t="str">
        <f>IF(Quantitative_Model!G213=1,"Upward","Downward")</f>
        <v>Upward</v>
      </c>
      <c r="F213" s="61" t="str">
        <f>IF(C213=Quantitative_Model!G213,"Correct","Incorrect")</f>
        <v>Incorrect</v>
      </c>
    </row>
    <row r="214" spans="1:6" x14ac:dyDescent="0.3">
      <c r="A214" s="62">
        <f>Market_Data_Raw!A214</f>
        <v>45869</v>
      </c>
      <c r="B214" s="63" t="str">
        <f>Market_Data_Raw!G214</f>
        <v>Market participants square off ahead of monthly F&amp;O expiry</v>
      </c>
      <c r="C214" s="64">
        <f>Market_Data_Raw!H214</f>
        <v>0</v>
      </c>
      <c r="D214" s="65" t="str">
        <f t="shared" si="3"/>
        <v>Neutral</v>
      </c>
      <c r="E214" s="65" t="str">
        <f>IF(Quantitative_Model!G214=1,"Upward","Downward")</f>
        <v>Upward</v>
      </c>
      <c r="F214" s="65" t="str">
        <f>IF(C214=Quantitative_Model!G214,"Correct","Incorrect")</f>
        <v>Incorrect</v>
      </c>
    </row>
    <row r="215" spans="1:6" x14ac:dyDescent="0.3">
      <c r="A215" s="58">
        <f>Market_Data_Raw!A215</f>
        <v>45870</v>
      </c>
      <c r="B215" s="59" t="str">
        <f>Market_Data_Raw!G215</f>
        <v>FIIs turn net buyers for 5th consecutive session, buying ₹6,300 Cr</v>
      </c>
      <c r="C215" s="60">
        <f>Market_Data_Raw!H215</f>
        <v>1</v>
      </c>
      <c r="D215" s="61" t="str">
        <f t="shared" si="3"/>
        <v>Positive</v>
      </c>
      <c r="E215" s="61" t="str">
        <f>IF(Quantitative_Model!G215=1,"Upward","Downward")</f>
        <v>Upward</v>
      </c>
      <c r="F215" s="61" t="str">
        <f>IF(C215=Quantitative_Model!G215,"Correct","Incorrect")</f>
        <v>Correct</v>
      </c>
    </row>
    <row r="216" spans="1:6" x14ac:dyDescent="0.3">
      <c r="A216" s="62">
        <f>Market_Data_Raw!A216</f>
        <v>45871</v>
      </c>
      <c r="B216" s="63" t="str">
        <f>Market_Data_Raw!G216</f>
        <v>SEBI consultation paper on algo trading released; awaiting responses</v>
      </c>
      <c r="C216" s="64">
        <f>Market_Data_Raw!H216</f>
        <v>0</v>
      </c>
      <c r="D216" s="65" t="str">
        <f t="shared" si="3"/>
        <v>Neutral</v>
      </c>
      <c r="E216" s="65" t="str">
        <f>IF(Quantitative_Model!G216=1,"Upward","Downward")</f>
        <v>Downward</v>
      </c>
      <c r="F216" s="65" t="str">
        <f>IF(C216=Quantitative_Model!G216,"Correct","Incorrect")</f>
        <v>Incorrect</v>
      </c>
    </row>
    <row r="217" spans="1:6" x14ac:dyDescent="0.3">
      <c r="A217" s="58">
        <f>Market_Data_Raw!A217</f>
        <v>45872</v>
      </c>
      <c r="B217" s="59" t="str">
        <f>Market_Data_Raw!G217</f>
        <v>Nifty50 drops 580 points on US Fed hawkish stance signals</v>
      </c>
      <c r="C217" s="60">
        <f>Market_Data_Raw!H217</f>
        <v>-1</v>
      </c>
      <c r="D217" s="61" t="str">
        <f t="shared" si="3"/>
        <v>Negative</v>
      </c>
      <c r="E217" s="61" t="str">
        <f>IF(Quantitative_Model!G217=1,"Upward","Downward")</f>
        <v>Upward</v>
      </c>
      <c r="F217" s="61" t="str">
        <f>IF(C217=Quantitative_Model!G217,"Correct","Incorrect")</f>
        <v>Incorrect</v>
      </c>
    </row>
    <row r="218" spans="1:6" x14ac:dyDescent="0.3">
      <c r="A218" s="62">
        <f>Market_Data_Raw!A218</f>
        <v>45873</v>
      </c>
      <c r="B218" s="63" t="str">
        <f>Market_Data_Raw!G218</f>
        <v>Nifty Pharma rallies 2.8% on US FDA approvals for domestic firms</v>
      </c>
      <c r="C218" s="64">
        <f>Market_Data_Raw!H218</f>
        <v>1</v>
      </c>
      <c r="D218" s="65" t="str">
        <f t="shared" si="3"/>
        <v>Positive</v>
      </c>
      <c r="E218" s="65" t="str">
        <f>IF(Quantitative_Model!G218=1,"Upward","Downward")</f>
        <v>Downward</v>
      </c>
      <c r="F218" s="65" t="str">
        <f>IF(C218=Quantitative_Model!G218,"Correct","Incorrect")</f>
        <v>Incorrect</v>
      </c>
    </row>
    <row r="219" spans="1:6" x14ac:dyDescent="0.3">
      <c r="A219" s="58">
        <f>Market_Data_Raw!A219</f>
        <v>45874</v>
      </c>
      <c r="B219" s="59" t="str">
        <f>Market_Data_Raw!G219</f>
        <v>Nifty FMCG volume growth accelerates to 9.4% in Q3 estimates</v>
      </c>
      <c r="C219" s="60">
        <f>Market_Data_Raw!H219</f>
        <v>1</v>
      </c>
      <c r="D219" s="61" t="str">
        <f t="shared" si="3"/>
        <v>Positive</v>
      </c>
      <c r="E219" s="61" t="str">
        <f>IF(Quantitative_Model!G219=1,"Upward","Downward")</f>
        <v>Downward</v>
      </c>
      <c r="F219" s="61" t="str">
        <f>IF(C219=Quantitative_Model!G219,"Correct","Incorrect")</f>
        <v>Incorrect</v>
      </c>
    </row>
    <row r="220" spans="1:6" x14ac:dyDescent="0.3">
      <c r="A220" s="62">
        <f>Market_Data_Raw!A220</f>
        <v>45875</v>
      </c>
      <c r="B220" s="63" t="str">
        <f>Market_Data_Raw!G220</f>
        <v>India-Japan semiconductor JV announced, tech stocks rally</v>
      </c>
      <c r="C220" s="64">
        <f>Market_Data_Raw!H220</f>
        <v>1</v>
      </c>
      <c r="D220" s="65" t="str">
        <f t="shared" si="3"/>
        <v>Positive</v>
      </c>
      <c r="E220" s="65" t="str">
        <f>IF(Quantitative_Model!G220=1,"Upward","Downward")</f>
        <v>Downward</v>
      </c>
      <c r="F220" s="65" t="str">
        <f>IF(C220=Quantitative_Model!G220,"Correct","Incorrect")</f>
        <v>Incorrect</v>
      </c>
    </row>
    <row r="221" spans="1:6" x14ac:dyDescent="0.3">
      <c r="A221" s="58">
        <f>Market_Data_Raw!A221</f>
        <v>45876</v>
      </c>
      <c r="B221" s="59" t="str">
        <f>Market_Data_Raw!G221</f>
        <v>Adani Ports wins major contract, infrastructure stocks rise broadly</v>
      </c>
      <c r="C221" s="60">
        <f>Market_Data_Raw!H221</f>
        <v>1</v>
      </c>
      <c r="D221" s="61" t="str">
        <f t="shared" si="3"/>
        <v>Positive</v>
      </c>
      <c r="E221" s="61" t="str">
        <f>IF(Quantitative_Model!G221=1,"Upward","Downward")</f>
        <v>Upward</v>
      </c>
      <c r="F221" s="61" t="str">
        <f>IF(C221=Quantitative_Model!G221,"Correct","Incorrect")</f>
        <v>Correct</v>
      </c>
    </row>
    <row r="222" spans="1:6" x14ac:dyDescent="0.3">
      <c r="A222" s="62">
        <f>Market_Data_Raw!A222</f>
        <v>45877</v>
      </c>
      <c r="B222" s="63" t="str">
        <f>Market_Data_Raw!G222</f>
        <v>NTPC announces major renewable capacity addition, green energy stocks up</v>
      </c>
      <c r="C222" s="64">
        <f>Market_Data_Raw!H222</f>
        <v>1</v>
      </c>
      <c r="D222" s="65" t="str">
        <f t="shared" si="3"/>
        <v>Positive</v>
      </c>
      <c r="E222" s="65" t="str">
        <f>IF(Quantitative_Model!G222=1,"Upward","Downward")</f>
        <v>Upward</v>
      </c>
      <c r="F222" s="65" t="str">
        <f>IF(C222=Quantitative_Model!G222,"Correct","Incorrect")</f>
        <v>Correct</v>
      </c>
    </row>
    <row r="223" spans="1:6" x14ac:dyDescent="0.3">
      <c r="A223" s="58">
        <f>Market_Data_Raw!A223</f>
        <v>45878</v>
      </c>
      <c r="B223" s="59" t="str">
        <f>Market_Data_Raw!G223</f>
        <v>Crude oil at $96/barrel hits India import bill, market falls</v>
      </c>
      <c r="C223" s="60">
        <f>Market_Data_Raw!H223</f>
        <v>-1</v>
      </c>
      <c r="D223" s="61" t="str">
        <f t="shared" si="3"/>
        <v>Negative</v>
      </c>
      <c r="E223" s="61" t="str">
        <f>IF(Quantitative_Model!G223=1,"Upward","Downward")</f>
        <v>Downward</v>
      </c>
      <c r="F223" s="61" t="str">
        <f>IF(C223=Quantitative_Model!G223,"Correct","Incorrect")</f>
        <v>Correct</v>
      </c>
    </row>
    <row r="224" spans="1:6" x14ac:dyDescent="0.3">
      <c r="A224" s="62">
        <f>Market_Data_Raw!A224</f>
        <v>45879</v>
      </c>
      <c r="B224" s="63" t="str">
        <f>Market_Data_Raw!G224</f>
        <v>MF SIP contributions cross ₹21,000 Cr monthly for first time</v>
      </c>
      <c r="C224" s="64">
        <f>Market_Data_Raw!H224</f>
        <v>1</v>
      </c>
      <c r="D224" s="65" t="str">
        <f t="shared" si="3"/>
        <v>Positive</v>
      </c>
      <c r="E224" s="65" t="str">
        <f>IF(Quantitative_Model!G224=1,"Upward","Downward")</f>
        <v>Upward</v>
      </c>
      <c r="F224" s="65" t="str">
        <f>IF(C224=Quantitative_Model!G224,"Correct","Incorrect")</f>
        <v>Correct</v>
      </c>
    </row>
    <row r="225" spans="1:6" x14ac:dyDescent="0.3">
      <c r="A225" s="58">
        <f>Market_Data_Raw!A225</f>
        <v>45880</v>
      </c>
      <c r="B225" s="59" t="str">
        <f>Market_Data_Raw!G225</f>
        <v>Nifty Consumer Staples maintains resilience in volatile session</v>
      </c>
      <c r="C225" s="60">
        <f>Market_Data_Raw!H225</f>
        <v>1</v>
      </c>
      <c r="D225" s="61" t="str">
        <f t="shared" si="3"/>
        <v>Positive</v>
      </c>
      <c r="E225" s="61" t="str">
        <f>IF(Quantitative_Model!G225=1,"Upward","Downward")</f>
        <v>Downward</v>
      </c>
      <c r="F225" s="61" t="str">
        <f>IF(C225=Quantitative_Model!G225,"Correct","Incorrect")</f>
        <v>Incorrect</v>
      </c>
    </row>
    <row r="226" spans="1:6" x14ac:dyDescent="0.3">
      <c r="A226" s="62">
        <f>Market_Data_Raw!A226</f>
        <v>45881</v>
      </c>
      <c r="B226" s="63" t="str">
        <f>Market_Data_Raw!G226</f>
        <v>Nifty Realty jumps 4.1% as RBI rate cut boosted housing demand</v>
      </c>
      <c r="C226" s="64">
        <f>Market_Data_Raw!H226</f>
        <v>1</v>
      </c>
      <c r="D226" s="65" t="str">
        <f t="shared" si="3"/>
        <v>Positive</v>
      </c>
      <c r="E226" s="65" t="str">
        <f>IF(Quantitative_Model!G226=1,"Upward","Downward")</f>
        <v>Downward</v>
      </c>
      <c r="F226" s="65" t="str">
        <f>IF(C226=Quantitative_Model!G226,"Correct","Incorrect")</f>
        <v>Incorrect</v>
      </c>
    </row>
    <row r="227" spans="1:6" x14ac:dyDescent="0.3">
      <c r="A227" s="58">
        <f>Market_Data_Raw!A227</f>
        <v>45882</v>
      </c>
      <c r="B227" s="59" t="str">
        <f>Market_Data_Raw!G227</f>
        <v>India's fiscal consolidation on track: FRBM targets to be met</v>
      </c>
      <c r="C227" s="60">
        <f>Market_Data_Raw!H227</f>
        <v>1</v>
      </c>
      <c r="D227" s="61" t="str">
        <f t="shared" si="3"/>
        <v>Positive</v>
      </c>
      <c r="E227" s="61" t="str">
        <f>IF(Quantitative_Model!G227=1,"Upward","Downward")</f>
        <v>Upward</v>
      </c>
      <c r="F227" s="61" t="str">
        <f>IF(C227=Quantitative_Model!G227,"Correct","Incorrect")</f>
        <v>Correct</v>
      </c>
    </row>
    <row r="228" spans="1:6" x14ac:dyDescent="0.3">
      <c r="A228" s="62">
        <f>Market_Data_Raw!A228</f>
        <v>45883</v>
      </c>
      <c r="B228" s="63" t="str">
        <f>Market_Data_Raw!G228</f>
        <v>Nifty Energy Q4 earnings growth at 16.4%, beats expectations</v>
      </c>
      <c r="C228" s="64">
        <f>Market_Data_Raw!H228</f>
        <v>0</v>
      </c>
      <c r="D228" s="65" t="str">
        <f t="shared" si="3"/>
        <v>Neutral</v>
      </c>
      <c r="E228" s="65" t="str">
        <f>IF(Quantitative_Model!G228=1,"Upward","Downward")</f>
        <v>Upward</v>
      </c>
      <c r="F228" s="65" t="str">
        <f>IF(C228=Quantitative_Model!G228,"Correct","Incorrect")</f>
        <v>Incorrect</v>
      </c>
    </row>
    <row r="229" spans="1:6" x14ac:dyDescent="0.3">
      <c r="A229" s="58">
        <f>Market_Data_Raw!A229</f>
        <v>45884</v>
      </c>
      <c r="B229" s="59" t="str">
        <f>Market_Data_Raw!G229</f>
        <v>Nifty consolidates after 5-day winning streak; breadth neutral</v>
      </c>
      <c r="C229" s="60">
        <f>Market_Data_Raw!H229</f>
        <v>0</v>
      </c>
      <c r="D229" s="61" t="str">
        <f t="shared" si="3"/>
        <v>Neutral</v>
      </c>
      <c r="E229" s="61" t="str">
        <f>IF(Quantitative_Model!G229=1,"Upward","Downward")</f>
        <v>Downward</v>
      </c>
      <c r="F229" s="61" t="str">
        <f>IF(C229=Quantitative_Model!G229,"Correct","Incorrect")</f>
        <v>Incorrect</v>
      </c>
    </row>
    <row r="230" spans="1:6" x14ac:dyDescent="0.3">
      <c r="A230" s="62">
        <f>Market_Data_Raw!A230</f>
        <v>45885</v>
      </c>
      <c r="B230" s="63" t="str">
        <f>Market_Data_Raw!G230</f>
        <v>India Q4 advance tax collection up 19% YoY, positive signal</v>
      </c>
      <c r="C230" s="64">
        <f>Market_Data_Raw!H230</f>
        <v>1</v>
      </c>
      <c r="D230" s="65" t="str">
        <f t="shared" si="3"/>
        <v>Positive</v>
      </c>
      <c r="E230" s="65" t="str">
        <f>IF(Quantitative_Model!G230=1,"Upward","Downward")</f>
        <v>Downward</v>
      </c>
      <c r="F230" s="65" t="str">
        <f>IF(C230=Quantitative_Model!G230,"Correct","Incorrect")</f>
        <v>Incorrect</v>
      </c>
    </row>
    <row r="231" spans="1:6" x14ac:dyDescent="0.3">
      <c r="A231" s="58">
        <f>Market_Data_Raw!A231</f>
        <v>45886</v>
      </c>
      <c r="B231" s="59" t="str">
        <f>Market_Data_Raw!G231</f>
        <v>India services inflation eases marginally; overall outlook stable</v>
      </c>
      <c r="C231" s="60">
        <f>Market_Data_Raw!H231</f>
        <v>0</v>
      </c>
      <c r="D231" s="61" t="str">
        <f t="shared" si="3"/>
        <v>Neutral</v>
      </c>
      <c r="E231" s="61" t="str">
        <f>IF(Quantitative_Model!G231=1,"Upward","Downward")</f>
        <v>Upward</v>
      </c>
      <c r="F231" s="61" t="str">
        <f>IF(C231=Quantitative_Model!G231,"Correct","Incorrect")</f>
        <v>Incorrect</v>
      </c>
    </row>
    <row r="232" spans="1:6" x14ac:dyDescent="0.3">
      <c r="A232" s="62">
        <f>Market_Data_Raw!A232</f>
        <v>45887</v>
      </c>
      <c r="B232" s="63" t="str">
        <f>Market_Data_Raw!G232</f>
        <v>HDFC Life, SBI Life hit 52-week highs on strong premium data</v>
      </c>
      <c r="C232" s="64">
        <f>Market_Data_Raw!H232</f>
        <v>1</v>
      </c>
      <c r="D232" s="65" t="str">
        <f t="shared" si="3"/>
        <v>Positive</v>
      </c>
      <c r="E232" s="65" t="str">
        <f>IF(Quantitative_Model!G232=1,"Upward","Downward")</f>
        <v>Downward</v>
      </c>
      <c r="F232" s="65" t="str">
        <f>IF(C232=Quantitative_Model!G232,"Correct","Incorrect")</f>
        <v>Incorrect</v>
      </c>
    </row>
    <row r="233" spans="1:6" x14ac:dyDescent="0.3">
      <c r="A233" s="58">
        <f>Market_Data_Raw!A233</f>
        <v>45888</v>
      </c>
      <c r="B233" s="59" t="str">
        <f>Market_Data_Raw!G233</f>
        <v>India power grid stocks fall on regulator tariff revision</v>
      </c>
      <c r="C233" s="60">
        <f>Market_Data_Raw!H233</f>
        <v>-1</v>
      </c>
      <c r="D233" s="61" t="str">
        <f t="shared" si="3"/>
        <v>Negative</v>
      </c>
      <c r="E233" s="61" t="str">
        <f>IF(Quantitative_Model!G233=1,"Upward","Downward")</f>
        <v>Upward</v>
      </c>
      <c r="F233" s="61" t="str">
        <f>IF(C233=Quantitative_Model!G233,"Correct","Incorrect")</f>
        <v>Incorrect</v>
      </c>
    </row>
    <row r="234" spans="1:6" x14ac:dyDescent="0.3">
      <c r="A234" s="62">
        <f>Market_Data_Raw!A234</f>
        <v>45889</v>
      </c>
      <c r="B234" s="63" t="str">
        <f>Market_Data_Raw!G234</f>
        <v>Nifty Midcap 150 gains 2.4% as broader earnings season impresses</v>
      </c>
      <c r="C234" s="64">
        <f>Market_Data_Raw!H234</f>
        <v>0</v>
      </c>
      <c r="D234" s="65" t="str">
        <f t="shared" si="3"/>
        <v>Neutral</v>
      </c>
      <c r="E234" s="65" t="str">
        <f>IF(Quantitative_Model!G234=1,"Upward","Downward")</f>
        <v>Upward</v>
      </c>
      <c r="F234" s="65" t="str">
        <f>IF(C234=Quantitative_Model!G234,"Correct","Incorrect")</f>
        <v>Incorrect</v>
      </c>
    </row>
    <row r="235" spans="1:6" x14ac:dyDescent="0.3">
      <c r="A235" s="58">
        <f>Market_Data_Raw!A235</f>
        <v>45890</v>
      </c>
      <c r="B235" s="59" t="str">
        <f>Market_Data_Raw!G235</f>
        <v>Tata Consultancy Services bags $1.2 Bn multi-year contract</v>
      </c>
      <c r="C235" s="60">
        <f>Market_Data_Raw!H235</f>
        <v>1</v>
      </c>
      <c r="D235" s="61" t="str">
        <f t="shared" si="3"/>
        <v>Positive</v>
      </c>
      <c r="E235" s="61" t="str">
        <f>IF(Quantitative_Model!G235=1,"Upward","Downward")</f>
        <v>Downward</v>
      </c>
      <c r="F235" s="61" t="str">
        <f>IF(C235=Quantitative_Model!G235,"Correct","Incorrect")</f>
        <v>Incorrect</v>
      </c>
    </row>
    <row r="236" spans="1:6" x14ac:dyDescent="0.3">
      <c r="A236" s="62">
        <f>Market_Data_Raw!A236</f>
        <v>45891</v>
      </c>
      <c r="B236" s="63" t="str">
        <f>Market_Data_Raw!G236</f>
        <v>India corporate governance standards improve: SEBI annual report</v>
      </c>
      <c r="C236" s="64">
        <f>Market_Data_Raw!H236</f>
        <v>-1</v>
      </c>
      <c r="D236" s="65" t="str">
        <f t="shared" si="3"/>
        <v>Negative</v>
      </c>
      <c r="E236" s="65" t="str">
        <f>IF(Quantitative_Model!G236=1,"Upward","Downward")</f>
        <v>Upward</v>
      </c>
      <c r="F236" s="65" t="str">
        <f>IF(C236=Quantitative_Model!G236,"Correct","Incorrect")</f>
        <v>Incorrect</v>
      </c>
    </row>
    <row r="237" spans="1:6" x14ac:dyDescent="0.3">
      <c r="A237" s="58">
        <f>Market_Data_Raw!A237</f>
        <v>45892</v>
      </c>
      <c r="B237" s="59" t="str">
        <f>Market_Data_Raw!G237</f>
        <v>Nifty Smallcap 100 gains 3.1% as SIP flows hit record high</v>
      </c>
      <c r="C237" s="60">
        <f>Market_Data_Raw!H237</f>
        <v>-1</v>
      </c>
      <c r="D237" s="61" t="str">
        <f t="shared" si="3"/>
        <v>Negative</v>
      </c>
      <c r="E237" s="61" t="str">
        <f>IF(Quantitative_Model!G237=1,"Upward","Downward")</f>
        <v>Upward</v>
      </c>
      <c r="F237" s="61" t="str">
        <f>IF(C237=Quantitative_Model!G237,"Correct","Incorrect")</f>
        <v>Incorrect</v>
      </c>
    </row>
    <row r="238" spans="1:6" x14ac:dyDescent="0.3">
      <c r="A238" s="62">
        <f>Market_Data_Raw!A238</f>
        <v>45893</v>
      </c>
      <c r="B238" s="63" t="str">
        <f>Market_Data_Raw!G238</f>
        <v>Nifty50 technical setup constructive above 200-DMA: analysts</v>
      </c>
      <c r="C238" s="64">
        <f>Market_Data_Raw!H238</f>
        <v>0</v>
      </c>
      <c r="D238" s="65" t="str">
        <f t="shared" si="3"/>
        <v>Neutral</v>
      </c>
      <c r="E238" s="65" t="str">
        <f>IF(Quantitative_Model!G238=1,"Upward","Downward")</f>
        <v>Downward</v>
      </c>
      <c r="F238" s="65" t="str">
        <f>IF(C238=Quantitative_Model!G238,"Correct","Incorrect")</f>
        <v>Incorrect</v>
      </c>
    </row>
    <row r="239" spans="1:6" x14ac:dyDescent="0.3">
      <c r="A239" s="58">
        <f>Market_Data_Raw!A239</f>
        <v>45894</v>
      </c>
      <c r="B239" s="59" t="str">
        <f>Market_Data_Raw!G239</f>
        <v>RBI OMO purchase of ₹30,000 Cr eases liquidity, bonds rally</v>
      </c>
      <c r="C239" s="60">
        <f>Market_Data_Raw!H239</f>
        <v>1</v>
      </c>
      <c r="D239" s="61" t="str">
        <f t="shared" si="3"/>
        <v>Positive</v>
      </c>
      <c r="E239" s="61" t="str">
        <f>IF(Quantitative_Model!G239=1,"Upward","Downward")</f>
        <v>Upward</v>
      </c>
      <c r="F239" s="61" t="str">
        <f>IF(C239=Quantitative_Model!G239,"Correct","Incorrect")</f>
        <v>Correct</v>
      </c>
    </row>
    <row r="240" spans="1:6" x14ac:dyDescent="0.3">
      <c r="A240" s="62">
        <f>Market_Data_Raw!A240</f>
        <v>45895</v>
      </c>
      <c r="B240" s="63" t="str">
        <f>Market_Data_Raw!G240</f>
        <v>Nifty50 market-on-close buying surge; institutions accumulate</v>
      </c>
      <c r="C240" s="64">
        <f>Market_Data_Raw!H240</f>
        <v>1</v>
      </c>
      <c r="D240" s="65" t="str">
        <f t="shared" si="3"/>
        <v>Positive</v>
      </c>
      <c r="E240" s="65" t="str">
        <f>IF(Quantitative_Model!G240=1,"Upward","Downward")</f>
        <v>Downward</v>
      </c>
      <c r="F240" s="65" t="str">
        <f>IF(C240=Quantitative_Model!G240,"Correct","Incorrect")</f>
        <v>Incorrect</v>
      </c>
    </row>
    <row r="241" spans="1:6" x14ac:dyDescent="0.3">
      <c r="A241" s="58">
        <f>Market_Data_Raw!A241</f>
        <v>45896</v>
      </c>
      <c r="B241" s="59" t="str">
        <f>Market_Data_Raw!G241</f>
        <v>Nifty Auto index flat; sector monitors monthly sales print closely</v>
      </c>
      <c r="C241" s="60">
        <f>Market_Data_Raw!H241</f>
        <v>0</v>
      </c>
      <c r="D241" s="61" t="str">
        <f t="shared" si="3"/>
        <v>Neutral</v>
      </c>
      <c r="E241" s="61" t="str">
        <f>IF(Quantitative_Model!G241=1,"Upward","Downward")</f>
        <v>Upward</v>
      </c>
      <c r="F241" s="61" t="str">
        <f>IF(C241=Quantitative_Model!G241,"Correct","Incorrect")</f>
        <v>Incorrect</v>
      </c>
    </row>
    <row r="242" spans="1:6" x14ac:dyDescent="0.3">
      <c r="A242" s="62">
        <f>Market_Data_Raw!A242</f>
        <v>45897</v>
      </c>
      <c r="B242" s="63" t="str">
        <f>Market_Data_Raw!G242</f>
        <v>India private capex cycle revival evident in bank credit data</v>
      </c>
      <c r="C242" s="64">
        <f>Market_Data_Raw!H242</f>
        <v>0</v>
      </c>
      <c r="D242" s="65" t="str">
        <f t="shared" si="3"/>
        <v>Neutral</v>
      </c>
      <c r="E242" s="65" t="str">
        <f>IF(Quantitative_Model!G242=1,"Upward","Downward")</f>
        <v>Downward</v>
      </c>
      <c r="F242" s="65" t="str">
        <f>IF(C242=Quantitative_Model!G242,"Correct","Incorrect")</f>
        <v>Incorrect</v>
      </c>
    </row>
    <row r="243" spans="1:6" x14ac:dyDescent="0.3">
      <c r="A243" s="58">
        <f>Market_Data_Raw!A243</f>
        <v>45898</v>
      </c>
      <c r="B243" s="59" t="str">
        <f>Market_Data_Raw!G243</f>
        <v>India startup ecosystem: 8 unicorns added in Q1 2025</v>
      </c>
      <c r="C243" s="60">
        <f>Market_Data_Raw!H243</f>
        <v>0</v>
      </c>
      <c r="D243" s="61" t="str">
        <f t="shared" si="3"/>
        <v>Neutral</v>
      </c>
      <c r="E243" s="61" t="str">
        <f>IF(Quantitative_Model!G243=1,"Upward","Downward")</f>
        <v>Downward</v>
      </c>
      <c r="F243" s="61" t="str">
        <f>IF(C243=Quantitative_Model!G243,"Correct","Incorrect")</f>
        <v>Incorrect</v>
      </c>
    </row>
    <row r="244" spans="1:6" x14ac:dyDescent="0.3">
      <c r="A244" s="62">
        <f>Market_Data_Raw!A244</f>
        <v>45899</v>
      </c>
      <c r="B244" s="63" t="str">
        <f>Market_Data_Raw!G244</f>
        <v>Nifty Commodities stable as crude, copper hold key levels</v>
      </c>
      <c r="C244" s="64">
        <f>Market_Data_Raw!H244</f>
        <v>-1</v>
      </c>
      <c r="D244" s="65" t="str">
        <f t="shared" si="3"/>
        <v>Negative</v>
      </c>
      <c r="E244" s="65" t="str">
        <f>IF(Quantitative_Model!G244=1,"Upward","Downward")</f>
        <v>Upward</v>
      </c>
      <c r="F244" s="65" t="str">
        <f>IF(C244=Quantitative_Model!G244,"Correct","Incorrect")</f>
        <v>Incorrect</v>
      </c>
    </row>
    <row r="245" spans="1:6" x14ac:dyDescent="0.3">
      <c r="A245" s="58">
        <f>Market_Data_Raw!A245</f>
        <v>45900</v>
      </c>
      <c r="B245" s="59" t="str">
        <f>Market_Data_Raw!G245</f>
        <v>India EV policy overhaul attracts Volkswagen and BMW investments</v>
      </c>
      <c r="C245" s="60">
        <f>Market_Data_Raw!H245</f>
        <v>1</v>
      </c>
      <c r="D245" s="61" t="str">
        <f t="shared" si="3"/>
        <v>Positive</v>
      </c>
      <c r="E245" s="61" t="str">
        <f>IF(Quantitative_Model!G245=1,"Upward","Downward")</f>
        <v>Upward</v>
      </c>
      <c r="F245" s="61" t="str">
        <f>IF(C245=Quantitative_Model!G245,"Correct","Incorrect")</f>
        <v>Correct</v>
      </c>
    </row>
    <row r="246" spans="1:6" x14ac:dyDescent="0.3">
      <c r="A246" s="62">
        <f>Market_Data_Raw!A246</f>
        <v>45901</v>
      </c>
      <c r="B246" s="63" t="str">
        <f>Market_Data_Raw!G246</f>
        <v>Nifty Oil &amp; Gas stable as OMC marketing margins stay healthy</v>
      </c>
      <c r="C246" s="64">
        <f>Market_Data_Raw!H246</f>
        <v>1</v>
      </c>
      <c r="D246" s="65" t="str">
        <f t="shared" si="3"/>
        <v>Positive</v>
      </c>
      <c r="E246" s="65" t="str">
        <f>IF(Quantitative_Model!G246=1,"Upward","Downward")</f>
        <v>Downward</v>
      </c>
      <c r="F246" s="65" t="str">
        <f>IF(C246=Quantitative_Model!G246,"Correct","Incorrect")</f>
        <v>Incorrect</v>
      </c>
    </row>
    <row r="247" spans="1:6" x14ac:dyDescent="0.3">
      <c r="A247" s="58">
        <f>Market_Data_Raw!A247</f>
        <v>45902</v>
      </c>
      <c r="B247" s="59" t="str">
        <f>Market_Data_Raw!G247</f>
        <v>Nifty Metal index outperforms on domestic demand recovery</v>
      </c>
      <c r="C247" s="60">
        <f>Market_Data_Raw!H247</f>
        <v>-1</v>
      </c>
      <c r="D247" s="61" t="str">
        <f t="shared" si="3"/>
        <v>Negative</v>
      </c>
      <c r="E247" s="61" t="str">
        <f>IF(Quantitative_Model!G247=1,"Upward","Downward")</f>
        <v>Downward</v>
      </c>
      <c r="F247" s="61" t="str">
        <f>IF(C247=Quantitative_Model!G247,"Correct","Incorrect")</f>
        <v>Correct</v>
      </c>
    </row>
    <row r="248" spans="1:6" x14ac:dyDescent="0.3">
      <c r="A248" s="62">
        <f>Market_Data_Raw!A248</f>
        <v>45903</v>
      </c>
      <c r="B248" s="63" t="str">
        <f>Market_Data_Raw!G248</f>
        <v>Nifty Infrastructure index beats broader market in July rally</v>
      </c>
      <c r="C248" s="64">
        <f>Market_Data_Raw!H248</f>
        <v>0</v>
      </c>
      <c r="D248" s="65" t="str">
        <f t="shared" si="3"/>
        <v>Neutral</v>
      </c>
      <c r="E248" s="65" t="str">
        <f>IF(Quantitative_Model!G248=1,"Upward","Downward")</f>
        <v>Downward</v>
      </c>
      <c r="F248" s="65" t="str">
        <f>IF(C248=Quantitative_Model!G248,"Correct","Incorrect")</f>
        <v>Incorrect</v>
      </c>
    </row>
    <row r="249" spans="1:6" x14ac:dyDescent="0.3">
      <c r="A249" s="58">
        <f>Market_Data_Raw!A249</f>
        <v>45904</v>
      </c>
      <c r="B249" s="59" t="str">
        <f>Market_Data_Raw!G249</f>
        <v>NSE volatility index at 15.8, one of the lowest readings this year</v>
      </c>
      <c r="C249" s="60">
        <f>Market_Data_Raw!H249</f>
        <v>0</v>
      </c>
      <c r="D249" s="61" t="str">
        <f t="shared" si="3"/>
        <v>Neutral</v>
      </c>
      <c r="E249" s="61" t="str">
        <f>IF(Quantitative_Model!G249=1,"Upward","Downward")</f>
        <v>Downward</v>
      </c>
      <c r="F249" s="61" t="str">
        <f>IF(C249=Quantitative_Model!G249,"Correct","Incorrect")</f>
        <v>Incorrect</v>
      </c>
    </row>
    <row r="250" spans="1:6" x14ac:dyDescent="0.3">
      <c r="A250" s="62">
        <f>Market_Data_Raw!A250</f>
        <v>45905</v>
      </c>
      <c r="B250" s="63" t="str">
        <f>Market_Data_Raw!G250</f>
        <v>India 5G rollout progress positive for telecom sector</v>
      </c>
      <c r="C250" s="64">
        <f>Market_Data_Raw!H250</f>
        <v>1</v>
      </c>
      <c r="D250" s="65" t="str">
        <f t="shared" si="3"/>
        <v>Positive</v>
      </c>
      <c r="E250" s="65" t="str">
        <f>IF(Quantitative_Model!G250=1,"Upward","Downward")</f>
        <v>Upward</v>
      </c>
      <c r="F250" s="65" t="str">
        <f>IF(C250=Quantitative_Model!G250,"Correct","Incorrect")</f>
        <v>Correct</v>
      </c>
    </row>
    <row r="251" spans="1:6" x14ac:dyDescent="0.3">
      <c r="A251" s="58">
        <f>Market_Data_Raw!A251</f>
        <v>45906</v>
      </c>
      <c r="B251" s="59" t="str">
        <f>Market_Data_Raw!G251</f>
        <v>L&amp;T bags ₹18,000 Cr infrastructure order, stock up 3.8%</v>
      </c>
      <c r="C251" s="60">
        <f>Market_Data_Raw!H251</f>
        <v>1</v>
      </c>
      <c r="D251" s="61" t="str">
        <f t="shared" si="3"/>
        <v>Positive</v>
      </c>
      <c r="E251" s="61" t="str">
        <f>IF(Quantitative_Model!G251=1,"Upward","Downward")</f>
        <v>Upward</v>
      </c>
      <c r="F251" s="61" t="str">
        <f>IF(C251=Quantitative_Model!G251,"Correct","Incorrect")</f>
        <v>Correct</v>
      </c>
    </row>
    <row r="252" spans="1:6" x14ac:dyDescent="0.3">
      <c r="A252" s="62">
        <f>Market_Data_Raw!A252</f>
        <v>45907</v>
      </c>
      <c r="B252" s="63" t="str">
        <f>Market_Data_Raw!G252</f>
        <v>Nifty Bank trades in 200-point range ahead of RBI credit policy</v>
      </c>
      <c r="C252" s="64">
        <f>Market_Data_Raw!H252</f>
        <v>0</v>
      </c>
      <c r="D252" s="65" t="str">
        <f t="shared" si="3"/>
        <v>Neutral</v>
      </c>
      <c r="E252" s="65" t="str">
        <f>IF(Quantitative_Model!G252=1,"Upward","Downward")</f>
        <v>Downward</v>
      </c>
      <c r="F252" s="65" t="str">
        <f>IF(C252=Quantitative_Model!G252,"Correct","Incorrect")</f>
        <v>Incorrect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39C12"/>
  </sheetPr>
  <dimension ref="A1:L18"/>
  <sheetViews>
    <sheetView showGridLines="0" topLeftCell="A4" workbookViewId="0">
      <selection activeCell="I13" sqref="I13"/>
    </sheetView>
  </sheetViews>
  <sheetFormatPr defaultRowHeight="13.8" x14ac:dyDescent="0.25"/>
  <cols>
    <col min="1" max="1" width="30" style="67" customWidth="1"/>
    <col min="2" max="12" width="16" style="67" customWidth="1"/>
    <col min="13" max="16384" width="8.88671875" style="67"/>
  </cols>
  <sheetData>
    <row r="1" spans="1:12" ht="30" customHeight="1" x14ac:dyDescent="0.25">
      <c r="A1" s="66" t="s">
        <v>270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spans="1:12" ht="22.05" customHeight="1" x14ac:dyDescent="0.25">
      <c r="A3" s="68" t="s">
        <v>271</v>
      </c>
      <c r="B3" s="15"/>
      <c r="C3" s="15"/>
      <c r="E3" s="68" t="s">
        <v>272</v>
      </c>
      <c r="F3" s="15"/>
      <c r="G3" s="15"/>
      <c r="H3" s="15"/>
    </row>
    <row r="5" spans="1:12" ht="19.95" customHeight="1" x14ac:dyDescent="0.25">
      <c r="A5" s="69" t="s">
        <v>273</v>
      </c>
      <c r="B5" s="69" t="s">
        <v>260</v>
      </c>
      <c r="C5" s="69" t="s">
        <v>3</v>
      </c>
      <c r="E5" s="69" t="s">
        <v>274</v>
      </c>
      <c r="F5" s="69" t="s">
        <v>275</v>
      </c>
      <c r="G5" s="69" t="s">
        <v>276</v>
      </c>
      <c r="H5" s="69" t="s">
        <v>277</v>
      </c>
    </row>
    <row r="6" spans="1:12" ht="19.95" customHeight="1" x14ac:dyDescent="0.25">
      <c r="A6" s="70" t="s">
        <v>278</v>
      </c>
      <c r="B6" s="71">
        <v>250</v>
      </c>
      <c r="C6" s="71">
        <v>250</v>
      </c>
      <c r="E6" s="72" t="s">
        <v>279</v>
      </c>
      <c r="F6" s="73">
        <v>1.9000000000000001E-4</v>
      </c>
      <c r="G6" s="71">
        <v>181</v>
      </c>
      <c r="H6" s="71">
        <v>17.07</v>
      </c>
    </row>
    <row r="7" spans="1:12" ht="19.95" customHeight="1" x14ac:dyDescent="0.25">
      <c r="A7" s="74" t="s">
        <v>280</v>
      </c>
      <c r="B7" s="75">
        <v>2.6200000000000003E-4</v>
      </c>
      <c r="C7" s="75">
        <v>18.3918</v>
      </c>
      <c r="E7" s="76" t="s">
        <v>281</v>
      </c>
      <c r="F7" s="73">
        <v>4.5100000000000001E-4</v>
      </c>
      <c r="G7" s="75">
        <v>69</v>
      </c>
      <c r="H7" s="75">
        <v>21.86</v>
      </c>
    </row>
    <row r="8" spans="1:12" ht="18" customHeight="1" x14ac:dyDescent="0.25">
      <c r="A8" s="70" t="s">
        <v>282</v>
      </c>
      <c r="B8" s="71">
        <v>7.9500000000000003E-4</v>
      </c>
      <c r="C8" s="71">
        <v>18.21</v>
      </c>
    </row>
    <row r="9" spans="1:12" ht="19.95" customHeight="1" x14ac:dyDescent="0.25">
      <c r="A9" s="74" t="s">
        <v>283</v>
      </c>
      <c r="B9" s="75">
        <v>8.2240000000000004E-3</v>
      </c>
      <c r="C9" s="75">
        <v>2.7700999999999998</v>
      </c>
      <c r="E9" s="43" t="s">
        <v>284</v>
      </c>
      <c r="G9" s="43">
        <v>250</v>
      </c>
      <c r="H9" s="77"/>
    </row>
    <row r="10" spans="1:12" ht="18" customHeight="1" x14ac:dyDescent="0.25">
      <c r="A10" s="70" t="s">
        <v>285</v>
      </c>
      <c r="B10" s="71">
        <v>-2.1968000000000001E-2</v>
      </c>
      <c r="C10" s="71">
        <v>11.85</v>
      </c>
    </row>
    <row r="11" spans="1:12" ht="18" customHeight="1" x14ac:dyDescent="0.25">
      <c r="A11" s="74" t="s">
        <v>286</v>
      </c>
      <c r="B11" s="75">
        <v>3.3048000000000001E-2</v>
      </c>
      <c r="C11" s="75">
        <v>25.51</v>
      </c>
    </row>
    <row r="12" spans="1:12" ht="18" customHeight="1" x14ac:dyDescent="0.25">
      <c r="A12" s="70" t="s">
        <v>287</v>
      </c>
      <c r="B12" s="71">
        <v>0.3105</v>
      </c>
      <c r="C12" s="71">
        <v>0.1855</v>
      </c>
    </row>
    <row r="13" spans="1:12" ht="22.05" customHeight="1" x14ac:dyDescent="0.25">
      <c r="A13" s="78" t="s">
        <v>288</v>
      </c>
      <c r="B13" s="79"/>
      <c r="C13" s="79"/>
      <c r="D13" s="80"/>
      <c r="E13" s="68" t="s">
        <v>289</v>
      </c>
      <c r="F13" s="15"/>
      <c r="G13" s="15"/>
      <c r="H13" s="15"/>
    </row>
    <row r="14" spans="1:12" ht="18" customHeight="1" x14ac:dyDescent="0.25">
      <c r="A14" s="70" t="s">
        <v>290</v>
      </c>
      <c r="B14" s="71">
        <v>6.7630000000000001E-5</v>
      </c>
      <c r="C14" s="71">
        <v>7.6734</v>
      </c>
    </row>
    <row r="15" spans="1:12" ht="19.95" customHeight="1" x14ac:dyDescent="0.25">
      <c r="A15" s="43" t="s">
        <v>291</v>
      </c>
      <c r="B15" s="43" t="s">
        <v>292</v>
      </c>
      <c r="C15" s="43" t="s">
        <v>293</v>
      </c>
      <c r="D15" s="43" t="s">
        <v>294</v>
      </c>
      <c r="E15" s="69" t="s">
        <v>295</v>
      </c>
      <c r="F15" s="69" t="s">
        <v>296</v>
      </c>
      <c r="G15" s="69" t="s">
        <v>293</v>
      </c>
      <c r="H15" s="69" t="s">
        <v>294</v>
      </c>
    </row>
    <row r="16" spans="1:12" ht="19.95" customHeight="1" x14ac:dyDescent="0.25">
      <c r="A16" s="81" t="s">
        <v>297</v>
      </c>
      <c r="B16" s="71">
        <v>114</v>
      </c>
      <c r="C16" s="71">
        <v>67</v>
      </c>
      <c r="D16" s="82">
        <v>58.8</v>
      </c>
      <c r="E16" s="83" t="s">
        <v>298</v>
      </c>
      <c r="F16" s="71">
        <v>46</v>
      </c>
      <c r="G16" s="71">
        <v>23</v>
      </c>
      <c r="H16" s="71" t="s">
        <v>299</v>
      </c>
    </row>
    <row r="17" spans="1:8" ht="19.95" customHeight="1" x14ac:dyDescent="0.25">
      <c r="A17" s="84" t="s">
        <v>300</v>
      </c>
      <c r="B17" s="75">
        <v>74</v>
      </c>
      <c r="C17" s="75">
        <v>0</v>
      </c>
      <c r="D17" s="85">
        <v>0</v>
      </c>
      <c r="E17" s="84" t="s">
        <v>301</v>
      </c>
      <c r="F17" s="75">
        <v>133</v>
      </c>
      <c r="G17" s="75">
        <v>0</v>
      </c>
      <c r="H17" s="75" t="s">
        <v>302</v>
      </c>
    </row>
    <row r="18" spans="1:8" ht="19.95" customHeight="1" x14ac:dyDescent="0.25">
      <c r="A18" s="83" t="s">
        <v>303</v>
      </c>
      <c r="B18" s="71">
        <v>62</v>
      </c>
      <c r="C18" s="71">
        <v>29</v>
      </c>
      <c r="D18" s="86">
        <v>46.8</v>
      </c>
      <c r="E18" s="81" t="s">
        <v>304</v>
      </c>
      <c r="F18" s="71">
        <v>71</v>
      </c>
      <c r="G18" s="71">
        <v>36</v>
      </c>
      <c r="H18" s="71" t="s">
        <v>305</v>
      </c>
    </row>
  </sheetData>
  <mergeCells count="5">
    <mergeCell ref="E3:H3"/>
    <mergeCell ref="A1:L1"/>
    <mergeCell ref="A3:C3"/>
    <mergeCell ref="A13:D13"/>
    <mergeCell ref="E13:H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74C3C"/>
  </sheetPr>
  <dimension ref="A1:P61"/>
  <sheetViews>
    <sheetView showGridLines="0" tabSelected="1" workbookViewId="0">
      <selection activeCell="B2" sqref="B2:O3"/>
    </sheetView>
  </sheetViews>
  <sheetFormatPr defaultRowHeight="14.4" x14ac:dyDescent="0.3"/>
  <cols>
    <col min="1" max="1" width="3" customWidth="1"/>
    <col min="2" max="2" width="20" customWidth="1"/>
    <col min="3" max="5" width="16" customWidth="1"/>
    <col min="6" max="6" width="3" customWidth="1"/>
    <col min="7" max="7" width="20" customWidth="1"/>
    <col min="8" max="10" width="16" customWidth="1"/>
    <col min="11" max="11" width="3" customWidth="1"/>
    <col min="12" max="12" width="20" customWidth="1"/>
    <col min="13" max="15" width="16" customWidth="1"/>
    <col min="16" max="16" width="3" customWidth="1"/>
  </cols>
  <sheetData>
    <row r="1" spans="1:16" ht="18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6" customHeight="1" x14ac:dyDescent="0.3">
      <c r="A2" s="1"/>
      <c r="B2" s="87" t="s">
        <v>306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"/>
    </row>
    <row r="3" spans="1:16" ht="18" customHeight="1" x14ac:dyDescent="0.3">
      <c r="A3" s="1"/>
      <c r="B3" s="88" t="s">
        <v>307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"/>
    </row>
    <row r="4" spans="1:16" ht="18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8.05" customHeight="1" x14ac:dyDescent="0.3">
      <c r="A5" s="1"/>
      <c r="B5" s="9" t="s">
        <v>308</v>
      </c>
      <c r="C5" s="5"/>
      <c r="D5" s="5"/>
      <c r="E5" s="5"/>
      <c r="F5" s="1"/>
      <c r="G5" s="9" t="s">
        <v>309</v>
      </c>
      <c r="H5" s="5"/>
      <c r="I5" s="5"/>
      <c r="J5" s="5"/>
      <c r="K5" s="1"/>
      <c r="L5" s="9" t="s">
        <v>310</v>
      </c>
      <c r="M5" s="5"/>
      <c r="N5" s="5"/>
      <c r="O5" s="5"/>
      <c r="P5" s="1"/>
    </row>
    <row r="6" spans="1:16" ht="28.05" customHeight="1" x14ac:dyDescent="0.3">
      <c r="A6" s="1"/>
      <c r="B6" s="7" t="s">
        <v>311</v>
      </c>
      <c r="C6" s="5"/>
      <c r="D6" s="5"/>
      <c r="E6" s="5"/>
      <c r="F6" s="1"/>
      <c r="G6" s="12" t="s">
        <v>312</v>
      </c>
      <c r="H6" s="5"/>
      <c r="I6" s="5"/>
      <c r="J6" s="5"/>
      <c r="K6" s="1"/>
      <c r="L6" s="8" t="s">
        <v>313</v>
      </c>
      <c r="M6" s="5"/>
      <c r="N6" s="5"/>
      <c r="O6" s="5"/>
      <c r="P6" s="1"/>
    </row>
    <row r="7" spans="1:16" ht="28.05" customHeight="1" x14ac:dyDescent="0.3">
      <c r="A7" s="1"/>
      <c r="B7" s="10" t="s">
        <v>314</v>
      </c>
      <c r="C7" s="5"/>
      <c r="D7" s="5"/>
      <c r="E7" s="5"/>
      <c r="F7" s="1"/>
      <c r="G7" s="10" t="s">
        <v>315</v>
      </c>
      <c r="H7" s="5"/>
      <c r="I7" s="5"/>
      <c r="J7" s="5"/>
      <c r="K7" s="1"/>
      <c r="L7" s="10" t="s">
        <v>316</v>
      </c>
      <c r="M7" s="5"/>
      <c r="N7" s="5"/>
      <c r="O7" s="5"/>
      <c r="P7" s="1"/>
    </row>
    <row r="8" spans="1:16" ht="10.050000000000001" customHeight="1" x14ac:dyDescent="0.3">
      <c r="A8" s="1"/>
      <c r="B8" s="11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"/>
    </row>
    <row r="9" spans="1:16" ht="22.05" customHeight="1" x14ac:dyDescent="0.3">
      <c r="A9" s="1"/>
      <c r="B9" s="13" t="s">
        <v>317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1"/>
    </row>
    <row r="10" spans="1:16" ht="18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8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8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8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8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8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8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8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8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8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8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8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8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8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8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8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8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8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8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8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8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8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8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8" customHeight="1" x14ac:dyDescent="0.3">
      <c r="A33" s="1"/>
      <c r="B33" s="1"/>
      <c r="C33" s="1"/>
      <c r="D33" s="1"/>
      <c r="E33" s="1"/>
      <c r="F33" s="1"/>
      <c r="G33" s="1"/>
      <c r="H33" s="2" t="s">
        <v>295</v>
      </c>
      <c r="I33" s="2" t="s">
        <v>276</v>
      </c>
      <c r="J33" s="1"/>
      <c r="K33" s="1"/>
      <c r="L33" s="1"/>
      <c r="M33" s="1"/>
      <c r="N33" s="1"/>
      <c r="O33" s="1"/>
      <c r="P33" s="1"/>
    </row>
    <row r="34" spans="1:16" ht="18" customHeight="1" x14ac:dyDescent="0.3">
      <c r="A34" s="1"/>
      <c r="B34" s="1"/>
      <c r="C34" s="1"/>
      <c r="D34" s="1"/>
      <c r="E34" s="1"/>
      <c r="F34" s="1"/>
      <c r="G34" s="1"/>
      <c r="H34" s="3" t="s">
        <v>318</v>
      </c>
      <c r="I34" s="3">
        <v>46</v>
      </c>
      <c r="J34" s="1"/>
      <c r="K34" s="1"/>
      <c r="L34" s="1"/>
      <c r="M34" s="1"/>
      <c r="N34" s="1"/>
      <c r="O34" s="1"/>
      <c r="P34" s="1"/>
    </row>
    <row r="35" spans="1:16" ht="18" customHeight="1" x14ac:dyDescent="0.3">
      <c r="A35" s="1"/>
      <c r="B35" s="1"/>
      <c r="C35" s="1"/>
      <c r="D35" s="1"/>
      <c r="E35" s="1"/>
      <c r="F35" s="1"/>
      <c r="G35" s="1"/>
      <c r="H35" s="3" t="s">
        <v>300</v>
      </c>
      <c r="I35" s="3">
        <v>133</v>
      </c>
      <c r="J35" s="1"/>
      <c r="K35" s="1"/>
      <c r="L35" s="1"/>
      <c r="M35" s="1"/>
      <c r="N35" s="1"/>
      <c r="O35" s="1"/>
      <c r="P35" s="1"/>
    </row>
    <row r="36" spans="1:16" ht="18" customHeight="1" x14ac:dyDescent="0.3">
      <c r="A36" s="1"/>
      <c r="B36" s="1"/>
      <c r="C36" s="1"/>
      <c r="D36" s="1"/>
      <c r="E36" s="1"/>
      <c r="F36" s="1"/>
      <c r="G36" s="1"/>
      <c r="H36" s="3" t="s">
        <v>319</v>
      </c>
      <c r="I36" s="3">
        <v>71</v>
      </c>
      <c r="J36" s="1"/>
      <c r="K36" s="1"/>
      <c r="L36" s="1"/>
      <c r="M36" s="1"/>
      <c r="N36" s="1"/>
      <c r="O36" s="1"/>
      <c r="P36" s="1"/>
    </row>
    <row r="37" spans="1:16" ht="18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8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8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8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8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8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8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8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8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8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8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8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8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5" spans="1:16" ht="22.05" customHeight="1" x14ac:dyDescent="0.3">
      <c r="B55" s="13" t="s">
        <v>320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1:16" ht="22.05" customHeight="1" x14ac:dyDescent="0.3">
      <c r="B56" s="4" t="s">
        <v>321</v>
      </c>
      <c r="C56" s="6" t="s">
        <v>322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1:16" ht="22.05" customHeight="1" x14ac:dyDescent="0.3">
      <c r="B57" s="4" t="s">
        <v>323</v>
      </c>
      <c r="C57" s="6" t="s">
        <v>324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6" ht="22.05" customHeight="1" x14ac:dyDescent="0.3">
      <c r="B58" s="4" t="s">
        <v>325</v>
      </c>
      <c r="C58" s="6" t="s">
        <v>326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6" ht="22.05" customHeight="1" x14ac:dyDescent="0.3">
      <c r="B59" s="4" t="s">
        <v>291</v>
      </c>
      <c r="C59" s="6" t="s">
        <v>327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6" ht="22.05" customHeight="1" x14ac:dyDescent="0.3">
      <c r="B60" s="4" t="s">
        <v>328</v>
      </c>
      <c r="C60" s="6" t="s">
        <v>329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6" ht="22.05" customHeight="1" x14ac:dyDescent="0.3">
      <c r="B61" s="4" t="s">
        <v>330</v>
      </c>
      <c r="C61" s="6" t="s">
        <v>331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</sheetData>
  <mergeCells count="20">
    <mergeCell ref="B2:O2"/>
    <mergeCell ref="B7:E7"/>
    <mergeCell ref="L7:O7"/>
    <mergeCell ref="C58:O58"/>
    <mergeCell ref="B8:O8"/>
    <mergeCell ref="G7:J7"/>
    <mergeCell ref="L5:O5"/>
    <mergeCell ref="G6:J6"/>
    <mergeCell ref="B9:O9"/>
    <mergeCell ref="B55:O55"/>
    <mergeCell ref="C56:O56"/>
    <mergeCell ref="G5:J5"/>
    <mergeCell ref="C61:O61"/>
    <mergeCell ref="B6:E6"/>
    <mergeCell ref="B3:O3"/>
    <mergeCell ref="L6:O6"/>
    <mergeCell ref="B5:E5"/>
    <mergeCell ref="C57:O57"/>
    <mergeCell ref="C59:O59"/>
    <mergeCell ref="C60:O6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Market_Data_Raw</vt:lpstr>
      <vt:lpstr>Quantitative_Model</vt:lpstr>
      <vt:lpstr>Qualitative_Sentiment</vt:lpstr>
      <vt:lpstr>Analytics_Tables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Vivek Singh</cp:lastModifiedBy>
  <dcterms:created xsi:type="dcterms:W3CDTF">2026-03-26T18:43:38Z</dcterms:created>
  <dcterms:modified xsi:type="dcterms:W3CDTF">2026-03-26T18:52:42Z</dcterms:modified>
</cp:coreProperties>
</file>